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Rooms Only" sheetId="2" state="visible" r:id="rId4"/>
    <sheet name="Master List" sheetId="3" state="visible" r:id="rId5"/>
    <sheet name="Alcohol Paths" sheetId="4" state="visible" r:id="rId6"/>
    <sheet name="Lodging" sheetId="5" state="visible" r:id="rId7"/>
    <sheet name="Kitchen" sheetId="6" state="visible" r:id="rId8"/>
    <sheet name="Critical Path" sheetId="7" state="visible" r:id="rId9"/>
    <sheet name="Costs" sheetId="8" state="visible" r:id="rId10"/>
    <sheet name="Open Questions" sheetId="9" state="visible" r:id="rId11"/>
    <sheet name="Sources" sheetId="10" state="visible" r:id="rId12"/>
  </sheets>
  <definedNames>
    <definedName function="false" hidden="true" localSheetId="2" name="_xlnm._FilterDatabase" vbProcedure="false">'Master List'!$A$5:$K$25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<sst xmlns="http://schemas.openxmlformats.org/spreadsheetml/2006/main" count="768" uniqueCount="530">
  <si>
    <t xml:space="preserve">Burton Inn: permitting and licensing workbook</t>
  </si>
  <si>
    <t xml:space="preserve">24007 Vashon Hwy SW, Vashon, WA 98070 (unincorporated King County). Built Oct 13, 2026 from the research task.</t>
  </si>
  <si>
    <t xml:space="preserve">Key numbers</t>
  </si>
  <si>
    <t xml:space="preserve">Low</t>
  </si>
  <si>
    <t xml:space="preserve">High</t>
  </si>
  <si>
    <t xml:space="preserve">Rooms only: weeks until first guest can book</t>
  </si>
  <si>
    <t xml:space="preserve">From the Rooms Only tab. Set its scenario switch to include the occupancy-review add-on.</t>
  </si>
  <si>
    <t xml:space="preserve">Rooms only: one-time cost, known items ($)</t>
  </si>
  <si>
    <t xml:space="preserve">Excludes items with no number yet; see Costs.</t>
  </si>
  <si>
    <t xml:space="preserve">Kitchen and liquor: weeks to open</t>
  </si>
  <si>
    <t xml:space="preserve">From the Critical Path tab; assumes the septic does not need a major redesign.</t>
  </si>
  <si>
    <t xml:space="preserve">Kitchen and liquor: one-time cost ($)</t>
  </si>
  <si>
    <t xml:space="preserve">Septic upgrade is the wild card (zero to $150,000).</t>
  </si>
  <si>
    <t xml:space="preserve">Permit tracker (from Master List)</t>
  </si>
  <si>
    <t xml:space="preserve">Open</t>
  </si>
  <si>
    <t xml:space="preserve">In progress</t>
  </si>
  <si>
    <t xml:space="preserve">Done</t>
  </si>
  <si>
    <t xml:space="preserve">N/A</t>
  </si>
  <si>
    <t xml:space="preserve">What to know first</t>
  </si>
  <si>
    <t xml:space="preserve">The kitchen, not the liquor license, is the critical path. It has been closed more than 365 days, so Public Health requires a full plan review.</t>
  </si>
  <si>
    <t xml:space="preserve">Burton is almost certainly on septic. Grease handling and septic capacity are the likeliest deal-breakers for the restaurant.</t>
  </si>
  <si>
    <t xml:space="preserve">The roofless Type I hood needs King County mechanical and fire suppression permits before Public Health will do its preoperational inspection.</t>
  </si>
  <si>
    <t xml:space="preserve">The liquor license takes 60 to 90 days and runs in parallel. File about 90 days before the target open date.</t>
  </si>
  <si>
    <t xml:space="preserve">The rooms do not depend on any of that. Their gate is the zoning letter and the lease check.</t>
  </si>
  <si>
    <t xml:space="preserve">No true stopgap liquor license exists for a for-profit business. Special Occasion licenses are for nonprofits only.</t>
  </si>
  <si>
    <t xml:space="preserve">Caveats</t>
  </si>
  <si>
    <t xml:space="preserve">Zoning, septic status, water provider and landmark status come from secondary sources and are not confirmed against official King County records. Treat them as leads.</t>
  </si>
  <si>
    <t xml:space="preserve">Cost ranges marked estimate are planning figures, not quotes. Fees marked 'per 2026 schedule' were not retrieved.</t>
  </si>
  <si>
    <t xml:space="preserve">The 2024 building codes take effect May 3, 2027. Rules after that date may differ.</t>
  </si>
  <si>
    <t xml:space="preserve">This is not legal advice. Confirm with LCB, King County DLS and Public Health.</t>
  </si>
  <si>
    <t xml:space="preserve">Legend</t>
  </si>
  <si>
    <t xml:space="preserve">Blue text on yellow</t>
  </si>
  <si>
    <t xml:space="preserve">Cells you edit: status, start weeks, include switches, assumptions.</t>
  </si>
  <si>
    <t xml:space="preserve">Green text</t>
  </si>
  <si>
    <t xml:space="preserve">Pulled from another tab.</t>
  </si>
  <si>
    <t xml:space="preserve">Black text</t>
  </si>
  <si>
    <t xml:space="preserve">Formulas and research findings. Leave alone.</t>
  </si>
  <si>
    <t xml:space="preserve">Tabs</t>
  </si>
  <si>
    <t xml:space="preserve">Rooms Only</t>
  </si>
  <si>
    <t xml:space="preserve">Fastest path: just the 4 upstairs rooms</t>
  </si>
  <si>
    <t xml:space="preserve">Master List</t>
  </si>
  <si>
    <t xml:space="preserve">All 20 permits and licenses with status</t>
  </si>
  <si>
    <t xml:space="preserve">Alcohol Paths</t>
  </si>
  <si>
    <t xml:space="preserve">License types compared, partner's mobile bar, structure options</t>
  </si>
  <si>
    <t xml:space="preserve">Lodging</t>
  </si>
  <si>
    <t xml:space="preserve">R-1 vs R-3 vs B&amp;B vs 30+ day</t>
  </si>
  <si>
    <t xml:space="preserve">Kitchen</t>
  </si>
  <si>
    <t xml:space="preserve">Reactivation checklist</t>
  </si>
  <si>
    <t xml:space="preserve">Critical Path</t>
  </si>
  <si>
    <t xml:space="preserve">Week-by-week chart for kitchen and liquor</t>
  </si>
  <si>
    <t xml:space="preserve">Costs</t>
  </si>
  <si>
    <t xml:space="preserve">Low and high estimates with totals</t>
  </si>
  <si>
    <t xml:space="preserve">Open Questions</t>
  </si>
  <si>
    <t xml:space="preserve">Records to request and decisions to make</t>
  </si>
  <si>
    <t xml:space="preserve">Sources</t>
  </si>
  <si>
    <t xml:space="preserve">Every link with a reliability flag</t>
  </si>
  <si>
    <t xml:space="preserve">Rooms only: opening the 4 upstairs rooms as short-term rentals</t>
  </si>
  <si>
    <t xml:space="preserve">No kitchen, septic or liquor license needed for this path. Weeks are counted from today. Blue on yellow cells are yours to edit.</t>
  </si>
  <si>
    <t xml:space="preserve">#</t>
  </si>
  <si>
    <t xml:space="preserve">Task</t>
  </si>
  <si>
    <t xml:space="preserve">Who</t>
  </si>
  <si>
    <t xml:space="preserve">Depends on</t>
  </si>
  <si>
    <t xml:space="preserve">Start low (wk)</t>
  </si>
  <si>
    <t xml:space="preserve">Start high (wk)</t>
  </si>
  <si>
    <t xml:space="preserve">Duration low (wk)</t>
  </si>
  <si>
    <t xml:space="preserve">Duration high (wk)</t>
  </si>
  <si>
    <t xml:space="preserve">End low (wk)</t>
  </si>
  <si>
    <t xml:space="preserve">End high (wk)</t>
  </si>
  <si>
    <t xml:space="preserve">Fee</t>
  </si>
  <si>
    <t xml:space="preserve">Status</t>
  </si>
  <si>
    <t xml:space="preserve">Notes</t>
  </si>
  <si>
    <t xml:space="preserve">Request permit history and Certificate of Occupancy (1993 permit, occupancy class, expired permits, code enforcement)</t>
  </si>
  <si>
    <t xml:space="preserve">Owner</t>
  </si>
  <si>
    <t xml:space="preserve">None</t>
  </si>
  <si>
    <t xml:space="preserve">Copy fees only</t>
  </si>
  <si>
    <t xml:space="preserve">King County Permitting Records Center. Informs the occupancy risk row below. Not a hard gate for go-live.</t>
  </si>
  <si>
    <t xml:space="preserve">Zoning and Historical Certification Letter; confirm lodging use is allowed and read the P-suffix text</t>
  </si>
  <si>
    <t xml:space="preserve">Owner / architect</t>
  </si>
  <si>
    <t xml:space="preserve">Per KC 2026 fee schedule</t>
  </si>
  <si>
    <t xml:space="preserve">THE gate. Zoning is probably NB-P but unconfirmed. If a B&amp;B guesthouse needs a resident operator, the plan changes.</t>
  </si>
  <si>
    <t xml:space="preserve">Confirm the lease allows nightly lodging; get landlord consent in writing</t>
  </si>
  <si>
    <t xml:space="preserve">Do this before spending money on anything else.</t>
  </si>
  <si>
    <t xml:space="preserve">WA business license for Burton Inn LLC; register for lodging and sales tax</t>
  </si>
  <si>
    <t xml:space="preserve">$50 application fee</t>
  </si>
  <si>
    <t xml:space="preserve">DOR Business Licensing Service. Airbnb collects most lodging taxes but you still file returns.</t>
  </si>
  <si>
    <t xml:space="preserve">Liability insurance ($1M or equivalent platform coverage) and RCW 64.37 postings (safety and contact info)</t>
  </si>
  <si>
    <t xml:space="preserve">Premium: get a quote</t>
  </si>
  <si>
    <t xml:space="preserve">State short-term rental law. Check that the policy covers nightly rentals of a commercial building.</t>
  </si>
  <si>
    <t xml:space="preserve">Smoke and CO alarm check in every room and the egress path; set guest cap (10 vs 16)</t>
  </si>
  <si>
    <t xml:space="preserve">Owner / contractor</t>
  </si>
  <si>
    <t xml:space="preserve">Task 3</t>
  </si>
  <si>
    <t xml:space="preserve">Alarms: see Costs</t>
  </si>
  <si>
    <t xml:space="preserve">Cap of 10 guests total likely keeps the rooms in the cheaper R-3 category. 16 means R-1.</t>
  </si>
  <si>
    <t xml:space="preserve">Listing setup: photos, house rules, tax collection settings</t>
  </si>
  <si>
    <t xml:space="preserve">Task 2</t>
  </si>
  <si>
    <t xml:space="preserve">Do not publish before the zoning answer is in hand.</t>
  </si>
  <si>
    <t xml:space="preserve">GO LIVE: all of the above complete</t>
  </si>
  <si>
    <t xml:space="preserve">Tasks 2 to 7</t>
  </si>
  <si>
    <t xml:space="preserve">Earliest and latest week the first guest can book, if no occupancy surprise turns up.</t>
  </si>
  <si>
    <t xml:space="preserve">Scenarios</t>
  </si>
  <si>
    <t xml:space="preserve">Low (wk)</t>
  </si>
  <si>
    <t xml:space="preserve">High (wk)</t>
  </si>
  <si>
    <t xml:space="preserve">Base case: first guest can book</t>
  </si>
  <si>
    <t xml:space="preserve">Add-on if records show no lodging occupancy history, so a change of occupancy review is needed (my estimate, weeks)</t>
  </si>
  <si>
    <t xml:space="preserve">Include the add-on? 1 = yes, 0 = no</t>
  </si>
  <si>
    <t xml:space="preserve">Go-live with the selected scenario</t>
  </si>
  <si>
    <t xml:space="preserve">Decisions only you can make</t>
  </si>
  <si>
    <t xml:space="preserve">Guest cap: 10 total (likely R-3, cheaper) or up to 16 (R-1, more revenue, more fire and egress scrutiny).</t>
  </si>
  <si>
    <t xml:space="preserve">Whether you or an on-site manager will live in the building. A bed and breakfast guesthouse classification may require a resident operator (secondary source, verify).</t>
  </si>
  <si>
    <t xml:space="preserve">Accessibility: rooms are upstairs only. Repairs alone do not trigger upgrades, but document a feasibility note in case the county asks.</t>
  </si>
  <si>
    <t xml:space="preserve">Master permit and license list</t>
  </si>
  <si>
    <t xml:space="preserve">20 items from the research. Fees and times marked (est.) are planning estimates. Status is yours to edit.</t>
  </si>
  <si>
    <t xml:space="preserve">Item</t>
  </si>
  <si>
    <t xml:space="preserve">Applies to</t>
  </si>
  <si>
    <t xml:space="preserve">Needed for rooms only?</t>
  </si>
  <si>
    <t xml:space="preserve">Agency / portal</t>
  </si>
  <si>
    <t xml:space="preserve">Fee (source)</t>
  </si>
  <si>
    <t xml:space="preserve">Typical time</t>
  </si>
  <si>
    <t xml:space="preserve">Prerequisites</t>
  </si>
  <si>
    <t xml:space="preserve">Records requests: permits, CO, code enforcement, OSS as-built, PH inspections, LCB history</t>
  </si>
  <si>
    <t xml:space="preserve">Both</t>
  </si>
  <si>
    <t xml:space="preserve">Yes</t>
  </si>
  <si>
    <t xml:space="preserve">KC Permitting Records Center; PHSKC; LCB Public Records</t>
  </si>
  <si>
    <t xml:space="preserve">Copy fees only (est.)</t>
  </si>
  <si>
    <t xml:space="preserve">2 to 6 wks</t>
  </si>
  <si>
    <t xml:space="preserve">Zoning and Historical Certification Letter / pre-application meeting</t>
  </si>
  <si>
    <t xml:space="preserve">KC DLS via MyBuildingPermit.com</t>
  </si>
  <si>
    <t xml:space="preserve">Per 2026 KC fee schedule (2025 fees rose 49%)</t>
  </si>
  <si>
    <t xml:space="preserve">2 to 6 wks (est.)</t>
  </si>
  <si>
    <t xml:space="preserve">Parcel number</t>
  </si>
  <si>
    <t xml:space="preserve">Confirms NB-P zoning, P-suffix text, and whether lodging and restaurant uses are allowed.</t>
  </si>
  <si>
    <t xml:space="preserve">WA business license, UBI, trade name</t>
  </si>
  <si>
    <t xml:space="preserve">DOR Business Licensing Service</t>
  </si>
  <si>
    <t xml:space="preserve">$50 application handling fee (WAC 458-02-200)</t>
  </si>
  <si>
    <t xml:space="preserve">1 to 3 wks</t>
  </si>
  <si>
    <t xml:space="preserve">LLC formed</t>
  </si>
  <si>
    <t xml:space="preserve">Septic evaluation by certified On-site System Maintainer</t>
  </si>
  <si>
    <t xml:space="preserve">No</t>
  </si>
  <si>
    <t xml:space="preserve">Private OSM; report to PHSKC</t>
  </si>
  <si>
    <t xml:space="preserve">$500 to $1,500 (est.)</t>
  </si>
  <si>
    <t xml:space="preserve">OSS as-built</t>
  </si>
  <si>
    <t xml:space="preserve">Burton is almost certainly on septic, not the Vashon Sewer District.</t>
  </si>
  <si>
    <t xml:space="preserve">OSS design or modification, grease interceptor</t>
  </si>
  <si>
    <t xml:space="preserve">PHSKC OSS program plus licensed designer</t>
  </si>
  <si>
    <t xml:space="preserve">Fee schedule BOH 2.18; design $3k to $10k (est.)</t>
  </si>
  <si>
    <t xml:space="preserve">6 to 16 wks (est.)</t>
  </si>
  <si>
    <t xml:space="preserve">Septic evaluation</t>
  </si>
  <si>
    <t xml:space="preserve">Designer / installer</t>
  </si>
  <si>
    <t xml:space="preserve">Biggest swing factor in cost and time.</t>
  </si>
  <si>
    <t xml:space="preserve">Water service and backflow confirmation</t>
  </si>
  <si>
    <t xml:space="preserve">Burton Water Co-op (verify)</t>
  </si>
  <si>
    <t xml:space="preserve">Unknown</t>
  </si>
  <si>
    <t xml:space="preserve">1 to 4 wks</t>
  </si>
  <si>
    <t xml:space="preserve">Owner / plumber</t>
  </si>
  <si>
    <t xml:space="preserve">Food plan review (full, because closed more than 365 days)</t>
  </si>
  <si>
    <t xml:space="preserve">PHSKC Permit Center</t>
  </si>
  <si>
    <t xml:space="preserve">$1,008 base + $252 per extra hour (PHSKC 2026)</t>
  </si>
  <si>
    <t xml:space="preserve">About 2 to 8 wks</t>
  </si>
  <si>
    <t xml:space="preserve">Menu, equipment plan, septic direction</t>
  </si>
  <si>
    <t xml:space="preserve">Owner / designer</t>
  </si>
  <si>
    <t xml:space="preserve">Mechanical permit: Type I hood, roof fan, makeup air</t>
  </si>
  <si>
    <t xml:space="preserve">KC DLS</t>
  </si>
  <si>
    <t xml:space="preserve">Per 2026 fee schedule</t>
  </si>
  <si>
    <t xml:space="preserve">3 to 10 wks (est.)</t>
  </si>
  <si>
    <t xml:space="preserve">Hood engineering</t>
  </si>
  <si>
    <t xml:space="preserve">Mechanical contractor</t>
  </si>
  <si>
    <t xml:space="preserve">Roof fan was removed. With no documents, assume listing, duct and suppression need recertifying.</t>
  </si>
  <si>
    <t xml:space="preserve">Fire suppression (UL 300) permit and test</t>
  </si>
  <si>
    <t xml:space="preserve">KC Fire Marshal</t>
  </si>
  <si>
    <t xml:space="preserve">Hood design</t>
  </si>
  <si>
    <t xml:space="preserve">Fire contractor</t>
  </si>
  <si>
    <t xml:space="preserve">Electrical permit</t>
  </si>
  <si>
    <t xml:space="preserve">WA L&amp;I (inferred)</t>
  </si>
  <si>
    <t xml:space="preserve">Per L&amp;I schedule</t>
  </si>
  <si>
    <t xml:space="preserve">Days to 2 wks</t>
  </si>
  <si>
    <t xml:space="preserve">Electrician</t>
  </si>
  <si>
    <t xml:space="preserve">Plumbing permit: sinks, interceptor</t>
  </si>
  <si>
    <t xml:space="preserve">PHSKC plumbing (inferred)</t>
  </si>
  <si>
    <t xml:space="preserve">Per PHSKC schedule</t>
  </si>
  <si>
    <t xml:space="preserve">Food plan review</t>
  </si>
  <si>
    <t xml:space="preserve">Plumber</t>
  </si>
  <si>
    <t xml:space="preserve">Building permit, only if any alteration goes beyond repair</t>
  </si>
  <si>
    <t xml:space="preserve">If needed</t>
  </si>
  <si>
    <t xml:space="preserve">4 to 16 wks (est.)</t>
  </si>
  <si>
    <t xml:space="preserve">Zoning letter, mechanical</t>
  </si>
  <si>
    <t xml:space="preserve">Architect</t>
  </si>
  <si>
    <t xml:space="preserve">Conditional.</t>
  </si>
  <si>
    <t xml:space="preserve">Final inspections and CO confirmation</t>
  </si>
  <si>
    <t xml:space="preserve">KC DLS; Fire Marshal</t>
  </si>
  <si>
    <t xml:space="preserve">Included</t>
  </si>
  <si>
    <t xml:space="preserve">Trade permits closed</t>
  </si>
  <si>
    <t xml:space="preserve">Contractor</t>
  </si>
  <si>
    <t xml:space="preserve">PH preoperational inspection and annual operating permit</t>
  </si>
  <si>
    <t xml:space="preserve">PHSKC</t>
  </si>
  <si>
    <t xml:space="preserve">$756 (Risk 2) or $1,008 (Risk 3), 13 to 50 seats</t>
  </si>
  <si>
    <t xml:space="preserve">1 to 2 wks after finals</t>
  </si>
  <si>
    <t xml:space="preserve">Plan review, finals</t>
  </si>
  <si>
    <t xml:space="preserve">Risk level depends on the menu.</t>
  </si>
  <si>
    <t xml:space="preserve">LCB liquor license</t>
  </si>
  <si>
    <t xml:space="preserve">Alcohol</t>
  </si>
  <si>
    <t xml:space="preserve">LCB via DOR Business Licensing Service</t>
  </si>
  <si>
    <t xml:space="preserve">$600 (beer/wine) or $2,200 to $2,700 (spirits, beer and wine) a year</t>
  </si>
  <si>
    <t xml:space="preserve">60 to 90 days</t>
  </si>
  <si>
    <t xml:space="preserve">Business license, lease, floor plan</t>
  </si>
  <si>
    <t xml:space="preserve">File about 90 days before the target open date.</t>
  </si>
  <si>
    <t xml:space="preserve">MAST permits (Class 12 or 13) for every server</t>
  </si>
  <si>
    <t xml:space="preserve">LCB-certified trainers</t>
  </si>
  <si>
    <t xml:space="preserve">Trainer fee (verify)</t>
  </si>
  <si>
    <t xml:space="preserve">1 day</t>
  </si>
  <si>
    <t xml:space="preserve">Hire</t>
  </si>
  <si>
    <t xml:space="preserve">Staff</t>
  </si>
  <si>
    <t xml:space="preserve">Food worker cards; Certified Food Protection Manager</t>
  </si>
  <si>
    <t xml:space="preserve">WA DOH online; ANSI exam</t>
  </si>
  <si>
    <t xml:space="preserve">Card fee (verify)</t>
  </si>
  <si>
    <t xml:space="preserve">CFPM expectation not verified.</t>
  </si>
  <si>
    <t xml:space="preserve">Short-term rental compliance: RCW 64.37 insurance and postings</t>
  </si>
  <si>
    <t xml:space="preserve">Rooms</t>
  </si>
  <si>
    <t xml:space="preserve">Self / insurer</t>
  </si>
  <si>
    <t xml:space="preserve">Premium</t>
  </si>
  <si>
    <t xml:space="preserve">1 to 2 wks</t>
  </si>
  <si>
    <t xml:space="preserve">Zoning letter</t>
  </si>
  <si>
    <t xml:space="preserve">Fire operational permits and annual inspection</t>
  </si>
  <si>
    <t xml:space="preserve">Not published by VIFR; KC schedule</t>
  </si>
  <si>
    <t xml:space="preserve">Annual</t>
  </si>
  <si>
    <t xml:space="preserve">Finals</t>
  </si>
  <si>
    <t xml:space="preserve">Unincorporated Vashon falls under the King County Fire Marshal.</t>
  </si>
  <si>
    <t xml:space="preserve">Sign permit</t>
  </si>
  <si>
    <t xml:space="preserve">KC DLS (KCC 21A.20.095)</t>
  </si>
  <si>
    <t xml:space="preserve">Per 2026 schedule</t>
  </si>
  <si>
    <t xml:space="preserve">Sign company</t>
  </si>
  <si>
    <t xml:space="preserve">Optional.</t>
  </si>
  <si>
    <t xml:space="preserve">Alcohol license paths (on-premise only)</t>
  </si>
  <si>
    <t xml:space="preserve">Fees are LCB 2026 annual figures from the research. Fit column is my read, not LCB's.</t>
  </si>
  <si>
    <t xml:space="preserve">Path</t>
  </si>
  <si>
    <t xml:space="preserve">Eligibility and food rules</t>
  </si>
  <si>
    <t xml:space="preserve">Privileges</t>
  </si>
  <si>
    <t xml:space="preserve">Limits</t>
  </si>
  <si>
    <t xml:space="preserve">Annual fee</t>
  </si>
  <si>
    <t xml:space="preserve">Fit for Burton Inn</t>
  </si>
  <si>
    <t xml:space="preserve">1. Spirits, Beer and Wine Restaurant</t>
  </si>
  <si>
    <t xml:space="preserve">Bona fide restaurant: 4 complete meals cooked on site, cook on duty, menu, kitchen equipment (WAC 314-02-035). Under 100% dining: complete meals at least 5 hrs a day, 3 days a week, between 8 a.m. and 11 p.m.</t>
  </si>
  <si>
    <t xml:space="preserve">Full bar; catering endorsement ($525); premixed cocktails to go with a meal; off-premises wine ($180)</t>
  </si>
  <si>
    <t xml:space="preserve">Hood and full kitchen must be live; meal records required</t>
  </si>
  <si>
    <t xml:space="preserve">$2,200 (50%+ dining), $2,700 (under 50%), $1,400 (service bar)</t>
  </si>
  <si>
    <t xml:space="preserve">Best if a real menu is planned</t>
  </si>
  <si>
    <t xml:space="preserve">2. Beer and/or Wine Restaurant</t>
  </si>
  <si>
    <t xml:space="preserve">Minimum food service (sandwiches, soup, pizza, etc.)</t>
  </si>
  <si>
    <t xml:space="preserve">Beer and wine on tap or opened; catering, off-premises and wine-to-go endorsements</t>
  </si>
  <si>
    <t xml:space="preserve">No spirits</t>
  </si>
  <si>
    <t xml:space="preserve">$300 beer, $300 wine, $600 both</t>
  </si>
  <si>
    <t xml:space="preserve">Lowest-risk start; can upgrade later</t>
  </si>
  <si>
    <t xml:space="preserve">3. Beer and/or Wine Tavern</t>
  </si>
  <si>
    <t xml:space="preserve">No food requirement listed</t>
  </si>
  <si>
    <t xml:space="preserve">Beer and wine on premises; catering endorsement</t>
  </si>
  <si>
    <t xml:space="preserve">No one under 21 on premises at any time</t>
  </si>
  <si>
    <t xml:space="preserve">$300 / $300 / $600</t>
  </si>
  <si>
    <t xml:space="preserve">Poor fit for an inn and family dining</t>
  </si>
  <si>
    <t xml:space="preserve">4. Snack Bar</t>
  </si>
  <si>
    <t xml:space="preserve">Snack food; designated seating</t>
  </si>
  <si>
    <t xml:space="preserve">Beer by opened bottle or can, wine by the glass</t>
  </si>
  <si>
    <t xml:space="preserve">No taps; beer cannot be the principal business</t>
  </si>
  <si>
    <t xml:space="preserve">$187.50</t>
  </si>
  <si>
    <t xml:space="preserve">Possible if the kitchen is delayed</t>
  </si>
  <si>
    <t xml:space="preserve">5. Catering endorsement</t>
  </si>
  <si>
    <t xml:space="preserve">Needs an underlying restaurant or tavern license</t>
  </si>
  <si>
    <t xml:space="preserve">Serve at unlicensed off-site events</t>
  </si>
  <si>
    <t xml:space="preserve">Not at other licensed premises</t>
  </si>
  <si>
    <t xml:space="preserve">$525</t>
  </si>
  <si>
    <t xml:space="preserve">Lets the Inn do off-site events, separate from the partner</t>
  </si>
  <si>
    <t xml:space="preserve">6. Special Occasion / banquet</t>
  </si>
  <si>
    <t xml:space="preserve">Special Occasion: bona fide nonprofits only, 12 single-day events a year. Banquet: invitation only, no charge for liquor</t>
  </si>
  <si>
    <t xml:space="preserve">Short events</t>
  </si>
  <si>
    <t xml:space="preserve">Retail licensees cannot get banquet permits; no third-party promoter cut on Special Occasion</t>
  </si>
  <si>
    <t xml:space="preserve">$90 a day; $25 a day</t>
  </si>
  <si>
    <t xml:space="preserve">Only a nonprofit-hosted bridge. No real stopgap for a for-profit.</t>
  </si>
  <si>
    <t xml:space="preserve">7. Hotel / Motel</t>
  </si>
  <si>
    <t xml:space="preserve">Hotel requires 20+ rooms. Motel license allows honor bars in up to 50% of rooms</t>
  </si>
  <si>
    <t xml:space="preserve">In-room alcohol</t>
  </si>
  <si>
    <t xml:space="preserve">4 rooms fails the hotel test; motel eligibility unverified</t>
  </si>
  <si>
    <t xml:space="preserve">$2,500 / $750</t>
  </si>
  <si>
    <t xml:space="preserve">Likely not available</t>
  </si>
  <si>
    <t xml:space="preserve">Partner's mobile bar</t>
  </si>
  <si>
    <t xml:space="preserve">LCB liquor caterer licenses are prohibited from catering events at liquor-licensed premises. Once the Inn is licensed, the partner's separate business cannot pour at the Inn under its own license. Partner staff can work Inn events as Burton Inn LLC employees with MAST permits, using the Inn's inventory.</t>
  </si>
  <si>
    <t xml:space="preserve">Structure options</t>
  </si>
  <si>
    <t xml:space="preserve">(a) Burton Inn LLC holds the license and operates</t>
  </si>
  <si>
    <t xml:space="preserve">Simplest. The lease must allow it.</t>
  </si>
  <si>
    <t xml:space="preserve">(b) Operator (partner's company) subleases the kitchen and bar and holds the license</t>
  </si>
  <si>
    <t xml:space="preserve">Operator needs its own lease or sublease, UBI and Public Health permit. Burton Inn LLC cannot share in alcohol revenue without being disclosed.</t>
  </si>
  <si>
    <t xml:space="preserve">(c) Management agreement with Burton Inn LLC as licensee</t>
  </si>
  <si>
    <t xml:space="preserve">Must be disclosed to and reviewed by LCB.</t>
  </si>
  <si>
    <t xml:space="preserve">Alcohol in the guest rooms</t>
  </si>
  <si>
    <t xml:space="preserve">A restaurant license covers only the floor-plan premises. Welcome bottles bundled into a paid stay are a likely unlicensed sale. Do not do it without written LCB guidance.</t>
  </si>
  <si>
    <t xml:space="preserve">LCB process</t>
  </si>
  <si>
    <t xml:space="preserve">Step 1</t>
  </si>
  <si>
    <t xml:space="preserve">File through DOR Business Licensing Service no more than 90 days before opening (needs a business address).</t>
  </si>
  <si>
    <t xml:space="preserve">Step 2</t>
  </si>
  <si>
    <t xml:space="preserve">Licensing specialist contacts you within about a week. Phase 1 takes about 10 days.</t>
  </si>
  <si>
    <t xml:space="preserve">Step 3</t>
  </si>
  <si>
    <t xml:space="preserve">LCB notifies King County, which has 20 days to respond (60 in an Alcohol Impact Area; Burton is not one, verify).</t>
  </si>
  <si>
    <t xml:space="preserve">Step 4</t>
  </si>
  <si>
    <t xml:space="preserve">Public notice posted at the premises for 14 days.</t>
  </si>
  <si>
    <t xml:space="preserve">Step 5</t>
  </si>
  <si>
    <t xml:space="preserve">You submit business structure, financing sources, lease and floor plan. Principals are fingerprinted.</t>
  </si>
  <si>
    <t xml:space="preserve">Step 6</t>
  </si>
  <si>
    <t xml:space="preserve">On approval, an approval letter acts as a 30-day license until the business license with liquor endorsement arrives. Typical total: 60 to 90 days.</t>
  </si>
  <si>
    <t xml:space="preserve">Lodging classification comparison (4 upstairs rooms)</t>
  </si>
  <si>
    <t xml:space="preserve">Occupancy classes are inferred from the 2021 IBC; confirm against the 1993 permit and Certificate of Occupancy.</t>
  </si>
  <si>
    <t xml:space="preserve">Code occupancy</t>
  </si>
  <si>
    <t xml:space="preserve">Zoning use</t>
  </si>
  <si>
    <t xml:space="preserve">Guests</t>
  </si>
  <si>
    <t xml:space="preserve">Key trade-off</t>
  </si>
  <si>
    <t xml:space="preserve">Inn rooms, up to 16 guests</t>
  </si>
  <si>
    <t xml:space="preserve">R-1</t>
  </si>
  <si>
    <t xml:space="preserve">Hotel/motel or B&amp;B (verify in NB zone)</t>
  </si>
  <si>
    <t xml:space="preserve">Most revenue; highest fire and egress scrutiny</t>
  </si>
  <si>
    <t xml:space="preserve">Transient lodging house, 10 guests or fewer</t>
  </si>
  <si>
    <t xml:space="preserve">R-3 (5 or fewer rooms, 10 or fewer occupants)</t>
  </si>
  <si>
    <t xml:space="preserve">Same as above</t>
  </si>
  <si>
    <t xml:space="preserve">Cheapest code path</t>
  </si>
  <si>
    <t xml:space="preserve">B&amp;B guesthouse</t>
  </si>
  <si>
    <t xml:space="preserve">R-3 likely</t>
  </si>
  <si>
    <t xml:space="preserve">B&amp;B guesthouse (5 rooms or fewer; residency condition reported by one secondary source)</t>
  </si>
  <si>
    <t xml:space="preserve">Needs a resident operator if that condition is confirmed</t>
  </si>
  <si>
    <t xml:space="preserve">30+ day rentals</t>
  </si>
  <si>
    <t xml:space="preserve">R-2 or R-3</t>
  </si>
  <si>
    <t xml:space="preserve">Residential per NB rules</t>
  </si>
  <si>
    <t xml:space="preserve">Avoids short-term rental taxes; tenant law applies</t>
  </si>
  <si>
    <t xml:space="preserve">Other points</t>
  </si>
  <si>
    <t xml:space="preserve">Washington RCW 64.37 defines a short-term rental as lodging that is not a hotel, motel or bed and breakfast, and excludes a duly licensed inn or hotel. Unincorporated King County has no dedicated STR permit program (secondary sources; verify).</t>
  </si>
  <si>
    <t xml:space="preserve">Parking (KCC 21A.18): B&amp;B guesthouse needs 1 space per guest room plus 2 per facility (6 total for 4 rooms). Hotel/motel needs 1 per bedroom. The restaurant adds its own requirement.</t>
  </si>
  <si>
    <t xml:space="preserve">Downstairs: a 40-seat dining room with an occupant load under 50 is generally Group B. Fifty or more makes it A-2, which raises egress and fire alarm demands.</t>
  </si>
  <si>
    <t xml:space="preserve">Accessibility: repairs do not trigger upgrades. Alterations to primary-function areas can, with a 20% disproportionate-cost cap and technical infeasibility exceptions. The federal ADA lodging exemption likely does not apply unless the proprietor lives on site.</t>
  </si>
  <si>
    <t xml:space="preserve">Codes: 2021 codes apply now. The 2024 codes take effect May 3, 2027; permits applied for before then should be reviewed under the 2021 codes.</t>
  </si>
  <si>
    <t xml:space="preserve">Kitchen reactivation checklist</t>
  </si>
  <si>
    <t xml:space="preserve">Assumes no equipment documents survive. Status is yours to edit.</t>
  </si>
  <si>
    <t xml:space="preserve">Area</t>
  </si>
  <si>
    <t xml:space="preserve">What to do</t>
  </si>
  <si>
    <t xml:space="preserve">Equipment inventory</t>
  </si>
  <si>
    <t xml:space="preserve">List every remaining item with make, model and NSF/UL labels.</t>
  </si>
  <si>
    <t xml:space="preserve">Hood</t>
  </si>
  <si>
    <t xml:space="preserve">Get the UL listing and a duct inspection. Replace the roof upblast fan. Install makeup air. Get an NFPA 96 cleaning certificate.</t>
  </si>
  <si>
    <t xml:space="preserve">Suppression</t>
  </si>
  <si>
    <t xml:space="preserve">Install a new or recertified UL 300 system with fuel shutoff and a K-class extinguisher.</t>
  </si>
  <si>
    <t xml:space="preserve">Sinks</t>
  </si>
  <si>
    <t xml:space="preserve">Handwashing sinks, 3-compartment sink, prep sink, mop sink. Check water heater capacity.</t>
  </si>
  <si>
    <t xml:space="preserve">Grease</t>
  </si>
  <si>
    <t xml:space="preserve">Exterior interceptor sized to UPC 2021, with a maintenance schedule filed with the septic design.</t>
  </si>
  <si>
    <t xml:space="preserve">Septic</t>
  </si>
  <si>
    <t xml:space="preserve">OSM inspection and flow and strength review.</t>
  </si>
  <si>
    <t xml:space="preserve">Certified OSM</t>
  </si>
  <si>
    <t xml:space="preserve">Refrigeration and finishes</t>
  </si>
  <si>
    <t xml:space="preserve">Refrigeration, thermometers, smooth and cleanable finishes.</t>
  </si>
  <si>
    <t xml:space="preserve">Plan submittal</t>
  </si>
  <si>
    <t xml:space="preserve">Floor plan and menu to Public Health. Set the risk level.</t>
  </si>
  <si>
    <t xml:space="preserve">People</t>
  </si>
  <si>
    <t xml:space="preserve">Food worker cards; Certified Food Protection Manager.</t>
  </si>
  <si>
    <t xml:space="preserve">Inspection</t>
  </si>
  <si>
    <t xml:space="preserve">Preoperational inspection; operating permit posted.</t>
  </si>
  <si>
    <t xml:space="preserve">Critical path: kitchen and liquor (weeks from today)</t>
  </si>
  <si>
    <t xml:space="preserve">Estimates from the research. Change the target open week and the LCB lead time to see the liquor filing window move.</t>
  </si>
  <si>
    <t xml:space="preserve">Target open week (assumption, midpoint of 24 to 32)</t>
  </si>
  <si>
    <t xml:space="preserve">LCB lead time in weeks (90 days is about 13)</t>
  </si>
  <si>
    <t xml:space="preserve">Activity</t>
  </si>
  <si>
    <t xml:space="preserve">Start wk</t>
  </si>
  <si>
    <t xml:space="preserve">End wk</t>
  </si>
  <si>
    <t xml:space="preserve">Weeks</t>
  </si>
  <si>
    <t xml:space="preserve">Records requests, zoning letter, septic inspection, equipment inventory, LLC and UBI</t>
  </si>
  <si>
    <t xml:space="preserve">Hood, fan and makeup air design; septic and grease design; Public Health plan submittal</t>
  </si>
  <si>
    <t xml:space="preserve">Permits issued: mechanical, fire, plumbing, OSS</t>
  </si>
  <si>
    <t xml:space="preserve">Construction</t>
  </si>
  <si>
    <t xml:space="preserve">LCB application window (file about 90 days before target open)</t>
  </si>
  <si>
    <t xml:space="preserve">Finals, Public Health preoperational inspection, LCB approval, open</t>
  </si>
  <si>
    <t xml:space="preserve">Rooms-only go-live window (low to high, from the Rooms Only tab)</t>
  </si>
  <si>
    <t xml:space="preserve">Likely bottlenecks</t>
  </si>
  <si>
    <t xml:space="preserve">Septic and grease redesign can add months and dominate cost.</t>
  </si>
  <si>
    <t xml:space="preserve">Hood recertification without documents.</t>
  </si>
  <si>
    <t xml:space="preserve">King County permit queue before the 2024 code switch on May 3, 2027.</t>
  </si>
  <si>
    <t xml:space="preserve">LCB timing stretches if the floor plan, funding or premises documents are incomplete.</t>
  </si>
  <si>
    <t xml:space="preserve">Cost estimates (low and high)</t>
  </si>
  <si>
    <t xml:space="preserve">Blank cells are unknown, not zero. Totals exclude them and the count below each total says how many are missing. Set Include to 0 to drop a line.</t>
  </si>
  <si>
    <t xml:space="preserve">Section</t>
  </si>
  <si>
    <t xml:space="preserve">Include (1/0)</t>
  </si>
  <si>
    <t xml:space="preserve">Low ($)</t>
  </si>
  <si>
    <t xml:space="preserve">High ($)</t>
  </si>
  <si>
    <t xml:space="preserve">Basis</t>
  </si>
  <si>
    <t xml:space="preserve">Note</t>
  </si>
  <si>
    <t xml:space="preserve">Records copies</t>
  </si>
  <si>
    <t xml:space="preserve">Get from KC Permitting Records Center.</t>
  </si>
  <si>
    <t xml:space="preserve">Zoning and Historical Certification Letter</t>
  </si>
  <si>
    <t xml:space="preserve">Per 2026 KC fee schedule; confirm with DLS.</t>
  </si>
  <si>
    <t xml:space="preserve">WA business license application</t>
  </si>
  <si>
    <t xml:space="preserve">WAC 458-02-200</t>
  </si>
  <si>
    <t xml:space="preserve">Non-refundable.</t>
  </si>
  <si>
    <t xml:space="preserve">Liability insurance or platform coverage</t>
  </si>
  <si>
    <t xml:space="preserve">Get a quote. RCW 64.37 requires $1M or equivalent.</t>
  </si>
  <si>
    <t xml:space="preserve">Smoke and CO alarms, extinguishers</t>
  </si>
  <si>
    <t xml:space="preserve">My planning estimate</t>
  </si>
  <si>
    <t xml:space="preserve">Verify against what the rooms already have.</t>
  </si>
  <si>
    <t xml:space="preserve">Public Health plan review and permit</t>
  </si>
  <si>
    <t xml:space="preserve">Kitchen and alcohol</t>
  </si>
  <si>
    <t xml:space="preserve">PHSKC 2026</t>
  </si>
  <si>
    <t xml:space="preserve">$1,008 plan review plus $756 Risk 2 permit as the low end.</t>
  </si>
  <si>
    <t xml:space="preserve">LCB annual license</t>
  </si>
  <si>
    <t xml:space="preserve">LCB 2026</t>
  </si>
  <si>
    <t xml:space="preserve">Beer/wine $600; spirits, beer and wine up to $2,700.</t>
  </si>
  <si>
    <t xml:space="preserve">Hood fan, makeup air, duct</t>
  </si>
  <si>
    <t xml:space="preserve">Estimate</t>
  </si>
  <si>
    <t xml:space="preserve">Widest range because there are no documents.</t>
  </si>
  <si>
    <t xml:space="preserve">UL 300 suppression</t>
  </si>
  <si>
    <t xml:space="preserve">Grease interceptor (exterior)</t>
  </si>
  <si>
    <t xml:space="preserve">Septic upgrade, if required</t>
  </si>
  <si>
    <t xml:space="preserve">Could be zero or the biggest line.</t>
  </si>
  <si>
    <t xml:space="preserve">King County permits: mechanical, fire, building</t>
  </si>
  <si>
    <t xml:space="preserve">Check the 2026 fee schedule.</t>
  </si>
  <si>
    <t xml:space="preserve">Design: architect, engineer, OSS designer</t>
  </si>
  <si>
    <t xml:space="preserve">Totals</t>
  </si>
  <si>
    <t xml:space="preserve">Items with no number yet</t>
  </si>
  <si>
    <t xml:space="preserve">Everything</t>
  </si>
  <si>
    <t xml:space="preserve">Open questions and records requests</t>
  </si>
  <si>
    <t xml:space="preserve">Each one narrows a risk in the other tabs. Status is yours to edit.</t>
  </si>
  <si>
    <t xml:space="preserve">Question or record</t>
  </si>
  <si>
    <t xml:space="preserve">Where to ask</t>
  </si>
  <si>
    <t xml:space="preserve">Why it matters</t>
  </si>
  <si>
    <t xml:space="preserve">King County permit history: original 1993 permit, Certificate of Occupancy, occupancy class, expired permits, code enforcement cases</t>
  </si>
  <si>
    <t xml:space="preserve">KC Permitting Records Center (online request)</t>
  </si>
  <si>
    <t xml:space="preserve">Shows whether nightly lodging for the rooms is already a permitted use. Decides the rooms-only timeline.</t>
  </si>
  <si>
    <t xml:space="preserve">Public Health food permit and inspection history, and the last closure date</t>
  </si>
  <si>
    <t xml:space="preserve">The closure date sets the 365-day status that triggers a full plan review.</t>
  </si>
  <si>
    <t xml:space="preserve">OSS as-built and design flow</t>
  </si>
  <si>
    <t xml:space="preserve">PHSKC online OSS records search</t>
  </si>
  <si>
    <t xml:space="preserve">Tells you what the septic can handle before you design a restaurant around it.</t>
  </si>
  <si>
    <t xml:space="preserve">LCB license history at the address (Lucy's Table about 2017 to 2018; a 2022 Burton Inn, Spa and Grill listing)</t>
  </si>
  <si>
    <t xml:space="preserve">LCB public records</t>
  </si>
  <si>
    <t xml:space="preserve">Prior licensee issues or conditions on the premises.</t>
  </si>
  <si>
    <t xml:space="preserve">Landlord (J.T. Sheffield LLC): lease use clause, consent to the liquor license, roof fan removal history, who pays for septic and hood work</t>
  </si>
  <si>
    <t xml:space="preserve">Landlord and your attorney</t>
  </si>
  <si>
    <t xml:space="preserve">Cost allocation and whether the lease permits lodging, a bar and a kitchen.</t>
  </si>
  <si>
    <t xml:space="preserve">Exact zoning, P-suffix text, whether hotel/motel or B&amp;B is allowed, and any resident-operator condition</t>
  </si>
  <si>
    <t xml:space="preserve">KC DLS zoning letter</t>
  </si>
  <si>
    <t xml:space="preserve">Could change the whole lodging plan.</t>
  </si>
  <si>
    <t xml:space="preserve">Parcel number: the one LoopNet page found lists 24012 Vashon Hwy SW, not 24007</t>
  </si>
  <si>
    <t xml:space="preserve">KC parcel viewer</t>
  </si>
  <si>
    <t xml:space="preserve">Every lookup depends on the right parcel.</t>
  </si>
  <si>
    <t xml:space="preserve">Water purveyor and backflow requirements</t>
  </si>
  <si>
    <t xml:space="preserve">Commercial kitchens often need premises isolation.</t>
  </si>
  <si>
    <t xml:space="preserve">Does King County require Fire Marshal operational permits for the restaurant?</t>
  </si>
  <si>
    <t xml:space="preserve">Adds an annual cost and inspection.</t>
  </si>
  <si>
    <t xml:space="preserve">Guest cap: 10 or 16</t>
  </si>
  <si>
    <t xml:space="preserve">You</t>
  </si>
  <si>
    <t xml:space="preserve">Decides R-3 versus R-1 and the fire and egress scrutiny.</t>
  </si>
  <si>
    <t xml:space="preserve">Target hours and seat count (assumed about 40)</t>
  </si>
  <si>
    <t xml:space="preserve">Fifty or more occupants makes the dining room A-2.</t>
  </si>
  <si>
    <t xml:space="preserve">Alcohol path and structure: Burton Inn LLC as licensee, or an operator subleasing</t>
  </si>
  <si>
    <t xml:space="preserve">You and your attorney</t>
  </si>
  <si>
    <t xml:space="preserve">Drives the entire LCB tab.</t>
  </si>
  <si>
    <t xml:space="preserve">Official means a government or agency site. Secondary means verify before relying on it. Retrieved during research on Oct 13, 2026.</t>
  </si>
  <si>
    <t xml:space="preserve">Publisher</t>
  </si>
  <si>
    <t xml:space="preserve">Reliability</t>
  </si>
  <si>
    <t xml:space="preserve">URL</t>
  </si>
  <si>
    <t xml:space="preserve">LoopNet</t>
  </si>
  <si>
    <t xml:space="preserve">Secondary, verify</t>
  </si>
  <si>
    <t xml:space="preserve">https://www.loopnet.com/property/24012-vashon-hwy-sw-vashon-wa-98070/53033-1922039014/</t>
  </si>
  <si>
    <t xml:space="preserve">King County</t>
  </si>
  <si>
    <t xml:space="preserve">Official</t>
  </si>
  <si>
    <t xml:space="preserve">https://cdn.kingcounty.gov/-/media/king-county/depts/local-services/director/subarea-plans/vashon-maury-island/vashon-subarea-plan-20200724.pdf?rev=bf6f142d42f440a8aab166d3e3caa3f3&amp;hash=6F9B6AD55BEDC8CF66088F721C6FD48C</t>
  </si>
  <si>
    <t xml:space="preserve">https://aqua.kingcounty.gov/council/clerk/OldOrdsMotions/Ordinance%2007870.pdf</t>
  </si>
  <si>
    <t xml:space="preserve">https://cdn.kingcounty.gov/-/media/king-county/independent/governance-and-leadership/government-oversight/hearing-examiner/documents/decisions-recommendations/appeals/code-enforcement/2023/enfr210581_hu.pdf?rev=9340a4d4514745b7b2b7aa68afb29081&amp;hash=F5E52C7715FDF24D86555F0B124CCE33</t>
  </si>
  <si>
    <t xml:space="preserve">Vashon-Maury Island Beachcomber</t>
  </si>
  <si>
    <t xml:space="preserve">Local news</t>
  </si>
  <si>
    <t xml:space="preserve">https://www.vashonbeachcomber.com/news/burton-landmark-purchased-by-island-business/</t>
  </si>
  <si>
    <t xml:space="preserve">NeighborWho</t>
  </si>
  <si>
    <t xml:space="preserve">https://www.neighborwho.com/Vashon-Hwy-Vashon-WA-addresses/</t>
  </si>
  <si>
    <t xml:space="preserve">Wikipedia</t>
  </si>
  <si>
    <t xml:space="preserve">https://en.wikipedia.org/wiki/List_of_landmarks_in_King_County,_Washington</t>
  </si>
  <si>
    <t xml:space="preserve">Vashon Sewer District</t>
  </si>
  <si>
    <t xml:space="preserve">https://www.vashonsewerdistrict.org/</t>
  </si>
  <si>
    <t xml:space="preserve">https://cdn.kingcounty.gov/-/media/king-county/depts/dph/documents/about-public-health/board-of-health/boh-code-title-13.pdf</t>
  </si>
  <si>
    <t xml:space="preserve">https://cdn.kingcounty.gov/-/media/king-county/depts/dph/documents/health-safety/environmental-health/training/septic-system-maintenance-food-establishments.pdf?hash=C23129672BA7905C3CBAE0ED885051C1&amp;rev=ef12098f6bbe4e50a535ff7a46e3455e</t>
  </si>
  <si>
    <t xml:space="preserve">WA State Building Code Council</t>
  </si>
  <si>
    <t xml:space="preserve">https://sbcc.wa.gov/sites/default/files/2024-02/2021%20IBC%20Insert%20Pages%202nd%20printing.pdf</t>
  </si>
  <si>
    <t xml:space="preserve">https://sbcc.wa.gov/</t>
  </si>
  <si>
    <t xml:space="preserve">WA Liquor and Cannabis Board</t>
  </si>
  <si>
    <t xml:space="preserve">https://lcb.wa.gov/sites/default/files/2026-01/01-07-2026-5ACR103-LEG-IMPL-PACKAGE-HB1636-1698-2SSB5786.pdf</t>
  </si>
  <si>
    <t xml:space="preserve">https://kingcounty.gov/en/dept/local-services/certificates-permits-licenses/permits/permits-inspections-codes-buildings-land-use/permit-forms-application-materials/building-land-use</t>
  </si>
  <si>
    <t xml:space="preserve">https://aqua.kingcounty.gov/council/clerk/code/24-30_Title_21A.htm</t>
  </si>
  <si>
    <t xml:space="preserve">https://cdn.kingcounty.gov/-/media/king-county/depts/local-services/permits/regional-planning/2016compplanupdate/2022execrecommendto2016/2022-0162-area-landuse-and-zoning-studies-kccp_0322.pdf?rev=0ec9cbd0db1f4d7b8ce647a34c1fd328&amp;hash=EE7D6DB7317E12A81D1A93B1100E2FC8</t>
  </si>
  <si>
    <t xml:space="preserve">Rexmont</t>
  </si>
  <si>
    <t xml:space="preserve">https://rexmont.com/short-term-rental-rules-seattle-eastside</t>
  </si>
  <si>
    <t xml:space="preserve">https://mkcclegisearch.kingcounty.gov/LegislationDetail.aspx?ID=6195438&amp;GUID=8A026AD2-2871-4729-A611-E266ED8F80A8&amp;Options=Advanced&amp;Search=&amp;FullText=1</t>
  </si>
  <si>
    <t xml:space="preserve">Crestcove</t>
  </si>
  <si>
    <t xml:space="preserve">https://www.crestcove.co/post/vashon-island-str-investment-2026</t>
  </si>
  <si>
    <t xml:space="preserve">STR Profit Map</t>
  </si>
  <si>
    <t xml:space="preserve">https://www.strprofitmap.com/regulations/WA/vashon</t>
  </si>
  <si>
    <t xml:space="preserve">WA Legislature</t>
  </si>
  <si>
    <t xml:space="preserve">https://app.leg.wa.gov/RCW/default.aspx?cite=64.37&amp;full=true</t>
  </si>
  <si>
    <t xml:space="preserve">https://lawfilesext.leg.wa.gov/law/wsr/2026/10/26-10-068.htm</t>
  </si>
  <si>
    <t xml:space="preserve">WA Dept of Health</t>
  </si>
  <si>
    <t xml:space="preserve">https://ccwa.doh.wa.gov/search/15338f22-0d4e-5f65-910e-0d6ad7b666ca</t>
  </si>
  <si>
    <t xml:space="preserve">Vashon Island Fire &amp; Rescue</t>
  </si>
  <si>
    <t xml:space="preserve">https://vifr.org/king-county-fire-marshal-issues-stage-1-burn-ban-restricting-yard-debris-fires-in-unincorporated-areas/</t>
  </si>
  <si>
    <t xml:space="preserve">https://cdn.kingcounty.gov/-/media/king-county/depts/dph/documents/certificates-permits-licenses/food-worker-business-permits/permanent-businesses/tip-sheet-food-plan-review-application.pdf?rev=e33c2f1fa63d49bbbb5fa4618bf5da9b&amp;hash=893952EEBFC4E35A1CCCF112635BD750</t>
  </si>
  <si>
    <t xml:space="preserve">https://cdn.kingcounty.gov/-/media/king-county/depts/dph/documents/certificates-permits-licenses/food-worker-business-permits/application-permanent-plan-review.pdf?rev=bddef9971ed847f4ba07ca5107028072&amp;hash=015AC97E4F2EF362E7F83F16990D9CE0</t>
  </si>
  <si>
    <t xml:space="preserve">https://cdn.kingcounty.gov/-/media/king-county/depts/dph/documents/certificates-permits-licenses/food-worker-business-permits/permanent-businesses/plan-guide-food-service-plan-review.pdf?rev=53032abdb9c14a9291288b286a679bca&amp;hash=F97AD0417B8768A63B0B0B4F0FC9FA67</t>
  </si>
  <si>
    <t xml:space="preserve">https://cdn.kingcounty.gov/-/media/king-county/depts/dph/documents/health-safety/environmental-health/fees/food-establishment-fees-through-2026.pdf?rev=09ce3ebf747f42638de9b1c4aebfd151&amp;hash=95431ACD5356F5C13071CCBC053B54A8</t>
  </si>
  <si>
    <t xml:space="preserve">https://kingcounty.gov/en/-/media/king-county/depts/dph/documents/certificates-permits-licenses/food-worker-business-permits/food-service-plan-submittal-tip-sheet.pdf</t>
  </si>
  <si>
    <t xml:space="preserve">https://lcb.wa.gov/sites/default/files/publications/licensing/Liquor-Retail-Licensing-Guide.pdf</t>
  </si>
  <si>
    <t xml:space="preserve">https://lcb.wa.gov/content/phase-1-getting-started-your-liquor-license-application</t>
  </si>
  <si>
    <t xml:space="preserve">https://lcb.wa.gov/llg/licensing_process</t>
  </si>
  <si>
    <t xml:space="preserve">https://lcb.wa.gov/enforcement/faqs</t>
  </si>
  <si>
    <t xml:space="preserve">CityRuleLookup</t>
  </si>
  <si>
    <t xml:space="preserve">https://cityrulelookup.com/counties/king-county-wa/rental-property</t>
  </si>
  <si>
    <t xml:space="preserve">BnbCalc</t>
  </si>
  <si>
    <t xml:space="preserve">https://www.bnbcalc.com/blog/short-term-rental-regulation/King-County-Washington-Guide</t>
  </si>
  <si>
    <t xml:space="preserve">Stay Flourish</t>
  </si>
  <si>
    <t xml:space="preserve">https://stayflourish.com/short-term-rental-taxes-washington.html</t>
  </si>
  <si>
    <t xml:space="preserve">WA Dept of Revenue</t>
  </si>
  <si>
    <t xml:space="preserve">https://dor.wa.gov/forms-publications/publications-subject/tax-topics/airbnb-collect-and-send-taxes-behalf-hosts</t>
  </si>
  <si>
    <t xml:space="preserve">Avalara</t>
  </si>
  <si>
    <t xml:space="preserve">https://www.avalara.com/mylodgetax/en/blog/2018/10/taxes-rise-on-short-term-rentals-in-king-county-washington.html</t>
  </si>
  <si>
    <t xml:space="preserve">Valta Realty</t>
  </si>
  <si>
    <t xml:space="preserve">https://valtarealty.com/blog/vacation-rental-taxes-washington</t>
  </si>
  <si>
    <t xml:space="preserve">https://app.leg.wa.gov/wac/default.aspx?cite=314-02-035</t>
  </si>
  <si>
    <t xml:space="preserve">https://lcb.wa.gov/licensing/retail_liquor_and_endorsement_description_and_fees_info</t>
  </si>
  <si>
    <t xml:space="preserve">https://lawfilesext.leg.wa.gov/biennium/2025-26/Pdf/Bill%20Reports/House/2536%20HBA%20CPB%2026.pdf</t>
  </si>
  <si>
    <t xml:space="preserve">https://lcb.wa.gov/licensing/special-licenses-and-permits</t>
  </si>
  <si>
    <t xml:space="preserve">https://kingcounty.gov/en/dept/local-services/buildings-property/public-notices-permit-records-search/permit-records-research</t>
  </si>
  <si>
    <t xml:space="preserve">https://www.vashonbeachcomber.com/news/burton-inn-is-once-again-on-the-market/</t>
  </si>
  <si>
    <t xml:space="preserve">Facebook (Burton Inn page)</t>
  </si>
  <si>
    <t xml:space="preserve">https://www.facebook.com/BurtonInnVashon/</t>
  </si>
  <si>
    <t xml:space="preserve">Note: the one LoopNet page found is for 24012 Vashon Hwy SW. The zoning and size data attributed to 24007 in the research need a parcel check.</t>
  </si>
</sst>
</file>

<file path=xl/styles.xml><?xml version="1.0" encoding="utf-8"?>
<styleSheet xmlns="http://schemas.openxmlformats.org/spreadsheetml/2006/main">
  <numFmts count="5">
    <numFmt numFmtId="164" formatCode="General"/>
    <numFmt numFmtId="165" formatCode="0"/>
    <numFmt numFmtId="166" formatCode="\$#,##0;&quot;($&quot;#,##0\);\-"/>
    <numFmt numFmtId="167" formatCode="General"/>
    <numFmt numFmtId="168" formatCode=";;;"/>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b val="true"/>
      <sz val="10"/>
      <color rgb="FFFFFFFF"/>
      <name val="Arial"/>
      <family val="0"/>
      <charset val="1"/>
    </font>
    <font>
      <sz val="10"/>
      <name val="Arial"/>
      <family val="0"/>
      <charset val="1"/>
    </font>
    <font>
      <sz val="10"/>
      <color rgb="FF008000"/>
      <name val="Arial"/>
      <family val="0"/>
      <charset val="1"/>
    </font>
    <font>
      <sz val="10"/>
      <color rgb="FF0000FF"/>
      <name val="Arial"/>
      <family val="0"/>
      <charset val="1"/>
    </font>
    <font>
      <b val="true"/>
      <sz val="10"/>
      <name val="Arial"/>
      <family val="0"/>
      <charset val="1"/>
    </font>
    <font>
      <b val="true"/>
      <sz val="8"/>
      <color rgb="FFFFFF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5" fontId="10" fillId="0"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center"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7" fontId="11" fillId="0" borderId="1" xfId="0" applyFont="true" applyBorder="true" applyAlignment="true" applyProtection="false">
      <alignment horizontal="center" vertical="top" textRotation="0" wrapText="true" indent="0" shrinkToFit="false"/>
      <protection locked="true" hidden="false"/>
    </xf>
    <xf numFmtId="164" fontId="12" fillId="2" borderId="0" xfId="0" applyFont="true" applyBorder="false" applyAlignment="true" applyProtection="false">
      <alignment horizontal="center" vertical="center"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6" fontId="10" fillId="3" borderId="1" xfId="0" applyFont="true" applyBorder="true" applyAlignment="true" applyProtection="false">
      <alignment horizontal="general" vertical="top" textRotation="0" wrapText="tru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center" vertical="top" textRotation="0" wrapText="tru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ill>
        <patternFill>
          <bgColor rgb="FF2F559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c r="B5" s="4" t="s">
        <v>3</v>
      </c>
      <c r="C5" s="4" t="s">
        <v>4</v>
      </c>
    </row>
    <row r="6" customFormat="false" ht="30" hidden="false" customHeight="true" outlineLevel="0" collapsed="false">
      <c r="A6" s="5" t="s">
        <v>5</v>
      </c>
      <c r="B6" s="6" t="n">
        <f aca="false">'Rooms Only'!I18</f>
        <v>3</v>
      </c>
      <c r="C6" s="6" t="n">
        <f aca="false">'Rooms Only'!J18</f>
        <v>8</v>
      </c>
      <c r="D6" s="5" t="s">
        <v>6</v>
      </c>
    </row>
    <row r="7" customFormat="false" ht="30" hidden="false" customHeight="true" outlineLevel="0" collapsed="false">
      <c r="A7" s="5" t="s">
        <v>7</v>
      </c>
      <c r="B7" s="7" t="n">
        <f aca="false">Costs!D22</f>
        <v>150</v>
      </c>
      <c r="C7" s="7" t="n">
        <f aca="false">Costs!E22</f>
        <v>650</v>
      </c>
      <c r="D7" s="5" t="s">
        <v>8</v>
      </c>
    </row>
    <row r="8" customFormat="false" ht="30" hidden="false" customHeight="true" outlineLevel="0" collapsed="false">
      <c r="A8" s="5" t="s">
        <v>9</v>
      </c>
      <c r="B8" s="8" t="n">
        <v>24</v>
      </c>
      <c r="C8" s="8" t="n">
        <v>32</v>
      </c>
      <c r="D8" s="5" t="s">
        <v>10</v>
      </c>
    </row>
    <row r="9" customFormat="false" ht="30" hidden="false" customHeight="true" outlineLevel="0" collapsed="false">
      <c r="A9" s="5" t="s">
        <v>11</v>
      </c>
      <c r="B9" s="7" t="n">
        <f aca="false">Costs!D23</f>
        <v>28364</v>
      </c>
      <c r="C9" s="7" t="n">
        <f aca="false">Costs!E23</f>
        <v>308200</v>
      </c>
      <c r="D9" s="5" t="s">
        <v>12</v>
      </c>
    </row>
    <row r="11" customFormat="false" ht="15" hidden="false" customHeight="false" outlineLevel="0" collapsed="false">
      <c r="A11" s="3" t="s">
        <v>13</v>
      </c>
    </row>
    <row r="12" customFormat="false" ht="15" hidden="false" customHeight="false" outlineLevel="0" collapsed="false">
      <c r="A12" s="9" t="s">
        <v>14</v>
      </c>
      <c r="B12" s="10" t="n">
        <f aca="false">COUNTIF('Master List'!J6:J25,A12)</f>
        <v>20</v>
      </c>
    </row>
    <row r="13" customFormat="false" ht="15" hidden="false" customHeight="false" outlineLevel="0" collapsed="false">
      <c r="A13" s="9" t="s">
        <v>15</v>
      </c>
      <c r="B13" s="10" t="n">
        <f aca="false">COUNTIF('Master List'!J6:J25,A13)</f>
        <v>0</v>
      </c>
    </row>
    <row r="14" customFormat="false" ht="15" hidden="false" customHeight="false" outlineLevel="0" collapsed="false">
      <c r="A14" s="9" t="s">
        <v>16</v>
      </c>
      <c r="B14" s="10" t="n">
        <f aca="false">COUNTIF('Master List'!J6:J25,A14)</f>
        <v>0</v>
      </c>
    </row>
    <row r="15" customFormat="false" ht="15" hidden="false" customHeight="false" outlineLevel="0" collapsed="false">
      <c r="A15" s="9" t="s">
        <v>17</v>
      </c>
      <c r="B15" s="10" t="n">
        <f aca="false">COUNTIF('Master List'!J6:J25,A15)</f>
        <v>0</v>
      </c>
    </row>
    <row r="17" customFormat="false" ht="15" hidden="false" customHeight="false" outlineLevel="0" collapsed="false">
      <c r="A17" s="3" t="s">
        <v>18</v>
      </c>
    </row>
    <row r="18" customFormat="false" ht="30" hidden="false" customHeight="true" outlineLevel="0" collapsed="false">
      <c r="A18" s="11" t="s">
        <v>19</v>
      </c>
      <c r="B18" s="11"/>
      <c r="C18" s="11"/>
      <c r="D18" s="11"/>
    </row>
    <row r="19" customFormat="false" ht="30" hidden="false" customHeight="true" outlineLevel="0" collapsed="false">
      <c r="A19" s="11" t="s">
        <v>20</v>
      </c>
      <c r="B19" s="11"/>
      <c r="C19" s="11"/>
      <c r="D19" s="11"/>
    </row>
    <row r="20" customFormat="false" ht="30" hidden="false" customHeight="true" outlineLevel="0" collapsed="false">
      <c r="A20" s="11" t="s">
        <v>21</v>
      </c>
      <c r="B20" s="11"/>
      <c r="C20" s="11"/>
      <c r="D20" s="11"/>
    </row>
    <row r="21" customFormat="false" ht="30" hidden="false" customHeight="true" outlineLevel="0" collapsed="false">
      <c r="A21" s="11" t="s">
        <v>22</v>
      </c>
      <c r="B21" s="11"/>
      <c r="C21" s="11"/>
      <c r="D21" s="11"/>
    </row>
    <row r="22" customFormat="false" ht="30" hidden="false" customHeight="true" outlineLevel="0" collapsed="false">
      <c r="A22" s="11" t="s">
        <v>23</v>
      </c>
      <c r="B22" s="11"/>
      <c r="C22" s="11"/>
      <c r="D22" s="11"/>
    </row>
    <row r="23" customFormat="false" ht="30" hidden="false" customHeight="true" outlineLevel="0" collapsed="false">
      <c r="A23" s="11" t="s">
        <v>24</v>
      </c>
      <c r="B23" s="11"/>
      <c r="C23" s="11"/>
      <c r="D23" s="11"/>
    </row>
    <row r="25" customFormat="false" ht="15" hidden="false" customHeight="false" outlineLevel="0" collapsed="false">
      <c r="A25" s="3" t="s">
        <v>25</v>
      </c>
    </row>
    <row r="26" customFormat="false" ht="30" hidden="false" customHeight="true" outlineLevel="0" collapsed="false">
      <c r="A26" s="11" t="s">
        <v>26</v>
      </c>
      <c r="B26" s="11"/>
      <c r="C26" s="11"/>
      <c r="D26" s="11"/>
    </row>
    <row r="27" customFormat="false" ht="30" hidden="false" customHeight="true" outlineLevel="0" collapsed="false">
      <c r="A27" s="11" t="s">
        <v>27</v>
      </c>
      <c r="B27" s="11"/>
      <c r="C27" s="11"/>
      <c r="D27" s="11"/>
    </row>
    <row r="28" customFormat="false" ht="30" hidden="false" customHeight="true" outlineLevel="0" collapsed="false">
      <c r="A28" s="11" t="s">
        <v>28</v>
      </c>
      <c r="B28" s="11"/>
      <c r="C28" s="11"/>
      <c r="D28" s="11"/>
    </row>
    <row r="29" customFormat="false" ht="30" hidden="false" customHeight="true" outlineLevel="0" collapsed="false">
      <c r="A29" s="11" t="s">
        <v>29</v>
      </c>
      <c r="B29" s="11"/>
      <c r="C29" s="11"/>
      <c r="D29" s="11"/>
    </row>
    <row r="31" customFormat="false" ht="15" hidden="false" customHeight="false" outlineLevel="0" collapsed="false">
      <c r="A31" s="3" t="s">
        <v>30</v>
      </c>
    </row>
    <row r="32" customFormat="false" ht="15" hidden="false" customHeight="false" outlineLevel="0" collapsed="false">
      <c r="A32" s="12" t="s">
        <v>31</v>
      </c>
      <c r="B32" s="9" t="s">
        <v>32</v>
      </c>
    </row>
    <row r="33" customFormat="false" ht="15" hidden="false" customHeight="false" outlineLevel="0" collapsed="false">
      <c r="A33" s="13" t="s">
        <v>33</v>
      </c>
      <c r="B33" s="9" t="s">
        <v>34</v>
      </c>
    </row>
    <row r="34" customFormat="false" ht="15" hidden="false" customHeight="false" outlineLevel="0" collapsed="false">
      <c r="A34" s="9" t="s">
        <v>35</v>
      </c>
      <c r="B34" s="9" t="s">
        <v>36</v>
      </c>
    </row>
    <row r="36" customFormat="false" ht="15" hidden="false" customHeight="false" outlineLevel="0" collapsed="false">
      <c r="A36" s="3" t="s">
        <v>37</v>
      </c>
    </row>
    <row r="37" customFormat="false" ht="15" hidden="false" customHeight="false" outlineLevel="0" collapsed="false">
      <c r="A37" s="14" t="s">
        <v>38</v>
      </c>
      <c r="B37" s="9" t="s">
        <v>39</v>
      </c>
    </row>
    <row r="38" customFormat="false" ht="15" hidden="false" customHeight="false" outlineLevel="0" collapsed="false">
      <c r="A38" s="14" t="s">
        <v>40</v>
      </c>
      <c r="B38" s="9" t="s">
        <v>41</v>
      </c>
    </row>
    <row r="39" customFormat="false" ht="15" hidden="false" customHeight="false" outlineLevel="0" collapsed="false">
      <c r="A39" s="14" t="s">
        <v>42</v>
      </c>
      <c r="B39" s="9" t="s">
        <v>43</v>
      </c>
    </row>
    <row r="40" customFormat="false" ht="15" hidden="false" customHeight="false" outlineLevel="0" collapsed="false">
      <c r="A40" s="14" t="s">
        <v>44</v>
      </c>
      <c r="B40" s="9" t="s">
        <v>45</v>
      </c>
    </row>
    <row r="41" customFormat="false" ht="15" hidden="false" customHeight="false" outlineLevel="0" collapsed="false">
      <c r="A41" s="14" t="s">
        <v>46</v>
      </c>
      <c r="B41" s="9" t="s">
        <v>47</v>
      </c>
    </row>
    <row r="42" customFormat="false" ht="15" hidden="false" customHeight="false" outlineLevel="0" collapsed="false">
      <c r="A42" s="14" t="s">
        <v>48</v>
      </c>
      <c r="B42" s="9" t="s">
        <v>49</v>
      </c>
    </row>
    <row r="43" customFormat="false" ht="15" hidden="false" customHeight="false" outlineLevel="0" collapsed="false">
      <c r="A43" s="14" t="s">
        <v>50</v>
      </c>
      <c r="B43" s="9" t="s">
        <v>51</v>
      </c>
    </row>
    <row r="44" customFormat="false" ht="15" hidden="false" customHeight="false" outlineLevel="0" collapsed="false">
      <c r="A44" s="14" t="s">
        <v>52</v>
      </c>
      <c r="B44" s="9" t="s">
        <v>53</v>
      </c>
    </row>
    <row r="45" customFormat="false" ht="15" hidden="false" customHeight="false" outlineLevel="0" collapsed="false">
      <c r="A45" s="14" t="s">
        <v>54</v>
      </c>
      <c r="B45" s="9" t="s">
        <v>55</v>
      </c>
    </row>
  </sheetData>
  <mergeCells count="10">
    <mergeCell ref="A18:D18"/>
    <mergeCell ref="A19:D19"/>
    <mergeCell ref="A20:D20"/>
    <mergeCell ref="A21:D21"/>
    <mergeCell ref="A22:D22"/>
    <mergeCell ref="A23:D23"/>
    <mergeCell ref="A26:D26"/>
    <mergeCell ref="A27:D27"/>
    <mergeCell ref="A28:D28"/>
    <mergeCell ref="A29:D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4" min="3" style="0" width="16"/>
    <col collapsed="false" customWidth="true" hidden="false" outlineLevel="0" max="10" min="5" style="0" width="10"/>
    <col collapsed="false" customWidth="true" hidden="false" outlineLevel="0" max="11" min="11" style="0" width="18"/>
    <col collapsed="false" customWidth="true" hidden="false" outlineLevel="0" max="12" min="12" style="0" width="12"/>
    <col collapsed="false" customWidth="true" hidden="false" outlineLevel="0" max="13" min="13" style="0" width="52"/>
  </cols>
  <sheetData>
    <row r="1" customFormat="false" ht="17.35" hidden="false" customHeight="false" outlineLevel="0" collapsed="false">
      <c r="A1" s="1" t="s">
        <v>56</v>
      </c>
    </row>
    <row r="2" customFormat="false" ht="15" hidden="false" customHeight="false" outlineLevel="0" collapsed="false">
      <c r="A2" s="2" t="s">
        <v>57</v>
      </c>
    </row>
    <row r="4" customFormat="false" ht="31.5" hidden="false" customHeight="true" outlineLevel="0" collapsed="false">
      <c r="A4" s="15" t="s">
        <v>58</v>
      </c>
      <c r="B4" s="15" t="s">
        <v>59</v>
      </c>
      <c r="C4" s="15" t="s">
        <v>60</v>
      </c>
      <c r="D4" s="15" t="s">
        <v>61</v>
      </c>
      <c r="E4" s="15" t="s">
        <v>62</v>
      </c>
      <c r="F4" s="15" t="s">
        <v>63</v>
      </c>
      <c r="G4" s="15" t="s">
        <v>64</v>
      </c>
      <c r="H4" s="15" t="s">
        <v>65</v>
      </c>
      <c r="I4" s="15" t="s">
        <v>66</v>
      </c>
      <c r="J4" s="15" t="s">
        <v>67</v>
      </c>
      <c r="K4" s="15" t="s">
        <v>68</v>
      </c>
      <c r="L4" s="15" t="s">
        <v>69</v>
      </c>
      <c r="M4" s="15" t="s">
        <v>70</v>
      </c>
    </row>
    <row r="5" customFormat="false" ht="35.05" hidden="false" customHeight="false" outlineLevel="0" collapsed="false">
      <c r="A5" s="16" t="n">
        <v>1</v>
      </c>
      <c r="B5" s="5" t="s">
        <v>71</v>
      </c>
      <c r="C5" s="5" t="s">
        <v>72</v>
      </c>
      <c r="D5" s="5" t="s">
        <v>73</v>
      </c>
      <c r="E5" s="17" t="n">
        <v>0</v>
      </c>
      <c r="F5" s="17" t="n">
        <v>0</v>
      </c>
      <c r="G5" s="18" t="n">
        <v>2</v>
      </c>
      <c r="H5" s="18" t="n">
        <v>6</v>
      </c>
      <c r="I5" s="16" t="n">
        <f aca="false">E5+G5</f>
        <v>2</v>
      </c>
      <c r="J5" s="16" t="n">
        <f aca="false">F5+H5</f>
        <v>6</v>
      </c>
      <c r="K5" s="5" t="s">
        <v>74</v>
      </c>
      <c r="L5" s="19" t="s">
        <v>14</v>
      </c>
      <c r="M5" s="5" t="s">
        <v>75</v>
      </c>
    </row>
    <row r="6" customFormat="false" ht="23.85" hidden="false" customHeight="false" outlineLevel="0" collapsed="false">
      <c r="A6" s="16" t="n">
        <v>2</v>
      </c>
      <c r="B6" s="5" t="s">
        <v>76</v>
      </c>
      <c r="C6" s="5" t="s">
        <v>77</v>
      </c>
      <c r="D6" s="5" t="s">
        <v>73</v>
      </c>
      <c r="E6" s="17" t="n">
        <v>0</v>
      </c>
      <c r="F6" s="17" t="n">
        <v>0</v>
      </c>
      <c r="G6" s="18" t="n">
        <v>2</v>
      </c>
      <c r="H6" s="18" t="n">
        <v>6</v>
      </c>
      <c r="I6" s="16" t="n">
        <f aca="false">E6+G6</f>
        <v>2</v>
      </c>
      <c r="J6" s="16" t="n">
        <f aca="false">F6+H6</f>
        <v>6</v>
      </c>
      <c r="K6" s="5" t="s">
        <v>78</v>
      </c>
      <c r="L6" s="19" t="s">
        <v>14</v>
      </c>
      <c r="M6" s="5" t="s">
        <v>79</v>
      </c>
    </row>
    <row r="7" customFormat="false" ht="23.85" hidden="false" customHeight="false" outlineLevel="0" collapsed="false">
      <c r="A7" s="16" t="n">
        <v>3</v>
      </c>
      <c r="B7" s="5" t="s">
        <v>80</v>
      </c>
      <c r="C7" s="5" t="s">
        <v>72</v>
      </c>
      <c r="D7" s="5" t="s">
        <v>73</v>
      </c>
      <c r="E7" s="17" t="n">
        <v>0</v>
      </c>
      <c r="F7" s="17" t="n">
        <v>0</v>
      </c>
      <c r="G7" s="18" t="n">
        <v>1</v>
      </c>
      <c r="H7" s="18" t="n">
        <v>2</v>
      </c>
      <c r="I7" s="16" t="n">
        <f aca="false">E7+G7</f>
        <v>1</v>
      </c>
      <c r="J7" s="16" t="n">
        <f aca="false">F7+H7</f>
        <v>2</v>
      </c>
      <c r="K7" s="5" t="s">
        <v>73</v>
      </c>
      <c r="L7" s="19" t="s">
        <v>14</v>
      </c>
      <c r="M7" s="5" t="s">
        <v>81</v>
      </c>
    </row>
    <row r="8" customFormat="false" ht="23.85" hidden="false" customHeight="false" outlineLevel="0" collapsed="false">
      <c r="A8" s="16" t="n">
        <v>4</v>
      </c>
      <c r="B8" s="5" t="s">
        <v>82</v>
      </c>
      <c r="C8" s="5" t="s">
        <v>72</v>
      </c>
      <c r="D8" s="5" t="s">
        <v>73</v>
      </c>
      <c r="E8" s="17" t="n">
        <v>0</v>
      </c>
      <c r="F8" s="17" t="n">
        <v>0</v>
      </c>
      <c r="G8" s="18" t="n">
        <v>1</v>
      </c>
      <c r="H8" s="18" t="n">
        <v>3</v>
      </c>
      <c r="I8" s="16" t="n">
        <f aca="false">E8+G8</f>
        <v>1</v>
      </c>
      <c r="J8" s="16" t="n">
        <f aca="false">F8+H8</f>
        <v>3</v>
      </c>
      <c r="K8" s="5" t="s">
        <v>83</v>
      </c>
      <c r="L8" s="19" t="s">
        <v>14</v>
      </c>
      <c r="M8" s="5" t="s">
        <v>84</v>
      </c>
    </row>
    <row r="9" customFormat="false" ht="23.85" hidden="false" customHeight="false" outlineLevel="0" collapsed="false">
      <c r="A9" s="16" t="n">
        <v>5</v>
      </c>
      <c r="B9" s="5" t="s">
        <v>85</v>
      </c>
      <c r="C9" s="5" t="s">
        <v>72</v>
      </c>
      <c r="D9" s="5" t="s">
        <v>73</v>
      </c>
      <c r="E9" s="17" t="n">
        <v>0</v>
      </c>
      <c r="F9" s="17" t="n">
        <v>0</v>
      </c>
      <c r="G9" s="18" t="n">
        <v>1</v>
      </c>
      <c r="H9" s="18" t="n">
        <v>2</v>
      </c>
      <c r="I9" s="16" t="n">
        <f aca="false">E9+G9</f>
        <v>1</v>
      </c>
      <c r="J9" s="16" t="n">
        <f aca="false">F9+H9</f>
        <v>2</v>
      </c>
      <c r="K9" s="5" t="s">
        <v>86</v>
      </c>
      <c r="L9" s="19" t="s">
        <v>14</v>
      </c>
      <c r="M9" s="5" t="s">
        <v>87</v>
      </c>
    </row>
    <row r="10" customFormat="false" ht="23.85" hidden="false" customHeight="false" outlineLevel="0" collapsed="false">
      <c r="A10" s="16" t="n">
        <v>6</v>
      </c>
      <c r="B10" s="5" t="s">
        <v>88</v>
      </c>
      <c r="C10" s="5" t="s">
        <v>89</v>
      </c>
      <c r="D10" s="5" t="s">
        <v>90</v>
      </c>
      <c r="E10" s="16" t="n">
        <f aca="false">I7</f>
        <v>1</v>
      </c>
      <c r="F10" s="16" t="n">
        <f aca="false">J7</f>
        <v>2</v>
      </c>
      <c r="G10" s="18" t="n">
        <v>1</v>
      </c>
      <c r="H10" s="18" t="n">
        <v>2</v>
      </c>
      <c r="I10" s="16" t="n">
        <f aca="false">E10+G10</f>
        <v>2</v>
      </c>
      <c r="J10" s="16" t="n">
        <f aca="false">F10+H10</f>
        <v>4</v>
      </c>
      <c r="K10" s="5" t="s">
        <v>91</v>
      </c>
      <c r="L10" s="19" t="s">
        <v>14</v>
      </c>
      <c r="M10" s="5" t="s">
        <v>92</v>
      </c>
    </row>
    <row r="11" customFormat="false" ht="15" hidden="false" customHeight="false" outlineLevel="0" collapsed="false">
      <c r="A11" s="16" t="n">
        <v>7</v>
      </c>
      <c r="B11" s="5" t="s">
        <v>93</v>
      </c>
      <c r="C11" s="5" t="s">
        <v>72</v>
      </c>
      <c r="D11" s="5" t="s">
        <v>94</v>
      </c>
      <c r="E11" s="16" t="n">
        <f aca="false">I6</f>
        <v>2</v>
      </c>
      <c r="F11" s="16" t="n">
        <f aca="false">J6</f>
        <v>6</v>
      </c>
      <c r="G11" s="18" t="n">
        <v>1</v>
      </c>
      <c r="H11" s="18" t="n">
        <v>2</v>
      </c>
      <c r="I11" s="16" t="n">
        <f aca="false">E11+G11</f>
        <v>3</v>
      </c>
      <c r="J11" s="16" t="n">
        <f aca="false">F11+H11</f>
        <v>8</v>
      </c>
      <c r="K11" s="5" t="s">
        <v>73</v>
      </c>
      <c r="L11" s="19" t="s">
        <v>14</v>
      </c>
      <c r="M11" s="5" t="s">
        <v>95</v>
      </c>
    </row>
    <row r="12" customFormat="false" ht="23.85" hidden="false" customHeight="false" outlineLevel="0" collapsed="false">
      <c r="A12" s="16" t="n">
        <v>8</v>
      </c>
      <c r="B12" s="20" t="s">
        <v>96</v>
      </c>
      <c r="C12" s="5"/>
      <c r="D12" s="5" t="s">
        <v>97</v>
      </c>
      <c r="E12" s="21" t="n">
        <f aca="false">MAX(I6,I8,I9,I10,I11)</f>
        <v>3</v>
      </c>
      <c r="F12" s="21" t="n">
        <f aca="false">MAX(J6,J8,J9,J10,J11)</f>
        <v>8</v>
      </c>
      <c r="G12" s="16" t="n">
        <v>0</v>
      </c>
      <c r="H12" s="16" t="n">
        <v>0</v>
      </c>
      <c r="I12" s="21" t="n">
        <f aca="false">E12+G12</f>
        <v>3</v>
      </c>
      <c r="J12" s="21" t="n">
        <f aca="false">F12+H12</f>
        <v>8</v>
      </c>
      <c r="K12" s="5"/>
      <c r="L12" s="5" t="s">
        <v>14</v>
      </c>
      <c r="M12" s="5" t="s">
        <v>98</v>
      </c>
    </row>
    <row r="14" customFormat="false" ht="15" hidden="false" customHeight="false" outlineLevel="0" collapsed="false">
      <c r="B14" s="3" t="s">
        <v>99</v>
      </c>
      <c r="I14" s="4" t="s">
        <v>100</v>
      </c>
      <c r="J14" s="4" t="s">
        <v>101</v>
      </c>
    </row>
    <row r="15" customFormat="false" ht="30" hidden="false" customHeight="true" outlineLevel="0" collapsed="false">
      <c r="A15" s="5"/>
      <c r="B15" s="5" t="s">
        <v>102</v>
      </c>
      <c r="C15" s="5"/>
      <c r="D15" s="5"/>
      <c r="E15" s="5"/>
      <c r="F15" s="5"/>
      <c r="G15" s="5"/>
      <c r="H15" s="5"/>
      <c r="I15" s="16" t="n">
        <f aca="false">I12</f>
        <v>3</v>
      </c>
      <c r="J15" s="16" t="n">
        <f aca="false">J12</f>
        <v>8</v>
      </c>
    </row>
    <row r="16" customFormat="false" ht="30" hidden="false" customHeight="true" outlineLevel="0" collapsed="false">
      <c r="A16" s="5"/>
      <c r="B16" s="5" t="s">
        <v>103</v>
      </c>
      <c r="C16" s="5"/>
      <c r="D16" s="5"/>
      <c r="E16" s="5"/>
      <c r="F16" s="5"/>
      <c r="G16" s="5"/>
      <c r="H16" s="5"/>
      <c r="I16" s="18" t="n">
        <v>8</v>
      </c>
      <c r="J16" s="18" t="n">
        <v>24</v>
      </c>
    </row>
    <row r="17" customFormat="false" ht="30" hidden="false" customHeight="true" outlineLevel="0" collapsed="false">
      <c r="A17" s="5"/>
      <c r="B17" s="5" t="s">
        <v>104</v>
      </c>
      <c r="C17" s="5"/>
      <c r="D17" s="5"/>
      <c r="E17" s="5"/>
      <c r="F17" s="5"/>
      <c r="G17" s="5"/>
      <c r="H17" s="5"/>
      <c r="I17" s="18" t="n">
        <v>0</v>
      </c>
      <c r="J17" s="5"/>
    </row>
    <row r="18" customFormat="false" ht="30" hidden="false" customHeight="true" outlineLevel="0" collapsed="false">
      <c r="A18" s="5"/>
      <c r="B18" s="20" t="s">
        <v>105</v>
      </c>
      <c r="C18" s="5"/>
      <c r="D18" s="5"/>
      <c r="E18" s="5"/>
      <c r="F18" s="5"/>
      <c r="G18" s="5"/>
      <c r="H18" s="5"/>
      <c r="I18" s="21" t="n">
        <f aca="false">I15+I17*I16</f>
        <v>3</v>
      </c>
      <c r="J18" s="21" t="n">
        <f aca="false">J15+I17*J16</f>
        <v>8</v>
      </c>
    </row>
    <row r="20" customFormat="false" ht="15" hidden="false" customHeight="false" outlineLevel="0" collapsed="false">
      <c r="B20" s="3" t="s">
        <v>106</v>
      </c>
    </row>
    <row r="21" customFormat="false" ht="30" hidden="false" customHeight="true" outlineLevel="0" collapsed="false">
      <c r="B21" s="11" t="s">
        <v>107</v>
      </c>
      <c r="C21" s="11"/>
      <c r="D21" s="11"/>
      <c r="E21" s="11"/>
      <c r="F21" s="11"/>
      <c r="G21" s="11"/>
      <c r="H21" s="11"/>
    </row>
    <row r="22" customFormat="false" ht="30" hidden="false" customHeight="true" outlineLevel="0" collapsed="false">
      <c r="B22" s="11" t="s">
        <v>108</v>
      </c>
      <c r="C22" s="11"/>
      <c r="D22" s="11"/>
      <c r="E22" s="11"/>
      <c r="F22" s="11"/>
      <c r="G22" s="11"/>
      <c r="H22" s="11"/>
    </row>
    <row r="23" customFormat="false" ht="30" hidden="false" customHeight="true" outlineLevel="0" collapsed="false">
      <c r="B23" s="11" t="s">
        <v>109</v>
      </c>
      <c r="C23" s="11"/>
      <c r="D23" s="11"/>
      <c r="E23" s="11"/>
      <c r="F23" s="11"/>
      <c r="G23" s="11"/>
      <c r="H23" s="11"/>
    </row>
  </sheetData>
  <mergeCells count="3">
    <mergeCell ref="B21:H21"/>
    <mergeCell ref="B22:H22"/>
    <mergeCell ref="B23:H23"/>
  </mergeCells>
  <dataValidations count="1">
    <dataValidation allowBlank="true" errorStyle="stop" operator="between" showDropDown="false" showErrorMessage="false" showInputMessage="false" sqref="L5:L12" type="list">
      <formula1>"Open,In progress,Done,N/A"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3" min="3" style="0" width="12"/>
    <col collapsed="false" customWidth="true" hidden="false" outlineLevel="0" max="4" min="4" style="0" width="14"/>
    <col collapsed="false" customWidth="true" hidden="false" outlineLevel="0" max="5" min="5" style="0" width="30"/>
    <col collapsed="false" customWidth="true" hidden="false" outlineLevel="0" max="6" min="6" style="0" width="34"/>
    <col collapsed="false" customWidth="true" hidden="false" outlineLevel="0" max="7" min="7" style="0" width="16"/>
    <col collapsed="false" customWidth="true" hidden="false" outlineLevel="0" max="8" min="8" style="0" width="30"/>
    <col collapsed="false" customWidth="true" hidden="false" outlineLevel="0" max="9" min="9" style="0" width="18"/>
    <col collapsed="false" customWidth="true" hidden="false" outlineLevel="0" max="10" min="10" style="0" width="12"/>
    <col collapsed="false" customWidth="true" hidden="false" outlineLevel="0" max="11" min="11" style="0" width="40"/>
  </cols>
  <sheetData>
    <row r="1" customFormat="false" ht="17.35" hidden="false" customHeight="false" outlineLevel="0" collapsed="false">
      <c r="A1" s="1" t="s">
        <v>110</v>
      </c>
    </row>
    <row r="2" customFormat="false" ht="15" hidden="false" customHeight="false" outlineLevel="0" collapsed="false">
      <c r="A2" s="2" t="s">
        <v>111</v>
      </c>
    </row>
    <row r="5" customFormat="false" ht="31.5" hidden="false" customHeight="true" outlineLevel="0" collapsed="false">
      <c r="A5" s="15" t="s">
        <v>58</v>
      </c>
      <c r="B5" s="15" t="s">
        <v>112</v>
      </c>
      <c r="C5" s="15" t="s">
        <v>113</v>
      </c>
      <c r="D5" s="15" t="s">
        <v>114</v>
      </c>
      <c r="E5" s="15" t="s">
        <v>115</v>
      </c>
      <c r="F5" s="15" t="s">
        <v>116</v>
      </c>
      <c r="G5" s="15" t="s">
        <v>117</v>
      </c>
      <c r="H5" s="15" t="s">
        <v>118</v>
      </c>
      <c r="I5" s="15" t="s">
        <v>60</v>
      </c>
      <c r="J5" s="15" t="s">
        <v>69</v>
      </c>
      <c r="K5" s="15" t="s">
        <v>70</v>
      </c>
    </row>
    <row r="6" customFormat="false" ht="23.85" hidden="false" customHeight="false" outlineLevel="0" collapsed="false">
      <c r="A6" s="16" t="n">
        <v>1</v>
      </c>
      <c r="B6" s="5" t="s">
        <v>119</v>
      </c>
      <c r="C6" s="16" t="s">
        <v>120</v>
      </c>
      <c r="D6" s="16" t="s">
        <v>121</v>
      </c>
      <c r="E6" s="5" t="s">
        <v>122</v>
      </c>
      <c r="F6" s="5" t="s">
        <v>123</v>
      </c>
      <c r="G6" s="5" t="s">
        <v>124</v>
      </c>
      <c r="H6" s="5" t="s">
        <v>73</v>
      </c>
      <c r="I6" s="5" t="s">
        <v>72</v>
      </c>
      <c r="J6" s="18" t="s">
        <v>14</v>
      </c>
      <c r="K6" s="5"/>
    </row>
    <row r="7" customFormat="false" ht="23.85" hidden="false" customHeight="false" outlineLevel="0" collapsed="false">
      <c r="A7" s="16" t="n">
        <v>2</v>
      </c>
      <c r="B7" s="5" t="s">
        <v>125</v>
      </c>
      <c r="C7" s="16" t="s">
        <v>120</v>
      </c>
      <c r="D7" s="16" t="s">
        <v>121</v>
      </c>
      <c r="E7" s="5" t="s">
        <v>126</v>
      </c>
      <c r="F7" s="5" t="s">
        <v>127</v>
      </c>
      <c r="G7" s="5" t="s">
        <v>128</v>
      </c>
      <c r="H7" s="5" t="s">
        <v>129</v>
      </c>
      <c r="I7" s="5" t="s">
        <v>77</v>
      </c>
      <c r="J7" s="18" t="s">
        <v>14</v>
      </c>
      <c r="K7" s="5" t="s">
        <v>130</v>
      </c>
    </row>
    <row r="8" customFormat="false" ht="23.85" hidden="false" customHeight="false" outlineLevel="0" collapsed="false">
      <c r="A8" s="16" t="n">
        <v>3</v>
      </c>
      <c r="B8" s="5" t="s">
        <v>131</v>
      </c>
      <c r="C8" s="16" t="s">
        <v>120</v>
      </c>
      <c r="D8" s="16" t="s">
        <v>121</v>
      </c>
      <c r="E8" s="5" t="s">
        <v>132</v>
      </c>
      <c r="F8" s="5" t="s">
        <v>133</v>
      </c>
      <c r="G8" s="5" t="s">
        <v>134</v>
      </c>
      <c r="H8" s="5" t="s">
        <v>135</v>
      </c>
      <c r="I8" s="5" t="s">
        <v>72</v>
      </c>
      <c r="J8" s="18" t="s">
        <v>14</v>
      </c>
      <c r="K8" s="5"/>
    </row>
    <row r="9" customFormat="false" ht="23.85" hidden="false" customHeight="false" outlineLevel="0" collapsed="false">
      <c r="A9" s="16" t="n">
        <v>4</v>
      </c>
      <c r="B9" s="5" t="s">
        <v>136</v>
      </c>
      <c r="C9" s="16" t="s">
        <v>46</v>
      </c>
      <c r="D9" s="16" t="s">
        <v>137</v>
      </c>
      <c r="E9" s="5" t="s">
        <v>138</v>
      </c>
      <c r="F9" s="5" t="s">
        <v>139</v>
      </c>
      <c r="G9" s="5" t="s">
        <v>134</v>
      </c>
      <c r="H9" s="5" t="s">
        <v>140</v>
      </c>
      <c r="I9" s="5" t="s">
        <v>72</v>
      </c>
      <c r="J9" s="18" t="s">
        <v>14</v>
      </c>
      <c r="K9" s="5" t="s">
        <v>141</v>
      </c>
    </row>
    <row r="10" customFormat="false" ht="23.85" hidden="false" customHeight="false" outlineLevel="0" collapsed="false">
      <c r="A10" s="16" t="n">
        <v>5</v>
      </c>
      <c r="B10" s="5" t="s">
        <v>142</v>
      </c>
      <c r="C10" s="16" t="s">
        <v>46</v>
      </c>
      <c r="D10" s="16" t="s">
        <v>137</v>
      </c>
      <c r="E10" s="5" t="s">
        <v>143</v>
      </c>
      <c r="F10" s="5" t="s">
        <v>144</v>
      </c>
      <c r="G10" s="5" t="s">
        <v>145</v>
      </c>
      <c r="H10" s="5" t="s">
        <v>146</v>
      </c>
      <c r="I10" s="5" t="s">
        <v>147</v>
      </c>
      <c r="J10" s="18" t="s">
        <v>14</v>
      </c>
      <c r="K10" s="5" t="s">
        <v>148</v>
      </c>
    </row>
    <row r="11" customFormat="false" ht="15" hidden="false" customHeight="false" outlineLevel="0" collapsed="false">
      <c r="A11" s="16" t="n">
        <v>6</v>
      </c>
      <c r="B11" s="5" t="s">
        <v>149</v>
      </c>
      <c r="C11" s="16" t="s">
        <v>46</v>
      </c>
      <c r="D11" s="16" t="s">
        <v>137</v>
      </c>
      <c r="E11" s="5" t="s">
        <v>150</v>
      </c>
      <c r="F11" s="5" t="s">
        <v>151</v>
      </c>
      <c r="G11" s="5" t="s">
        <v>152</v>
      </c>
      <c r="H11" s="5" t="s">
        <v>73</v>
      </c>
      <c r="I11" s="5" t="s">
        <v>153</v>
      </c>
      <c r="J11" s="18" t="s">
        <v>14</v>
      </c>
      <c r="K11" s="5"/>
    </row>
    <row r="12" customFormat="false" ht="23.85" hidden="false" customHeight="false" outlineLevel="0" collapsed="false">
      <c r="A12" s="16" t="n">
        <v>7</v>
      </c>
      <c r="B12" s="5" t="s">
        <v>154</v>
      </c>
      <c r="C12" s="16" t="s">
        <v>46</v>
      </c>
      <c r="D12" s="16" t="s">
        <v>137</v>
      </c>
      <c r="E12" s="5" t="s">
        <v>155</v>
      </c>
      <c r="F12" s="5" t="s">
        <v>156</v>
      </c>
      <c r="G12" s="5" t="s">
        <v>157</v>
      </c>
      <c r="H12" s="5" t="s">
        <v>158</v>
      </c>
      <c r="I12" s="5" t="s">
        <v>159</v>
      </c>
      <c r="J12" s="18" t="s">
        <v>14</v>
      </c>
      <c r="K12" s="5"/>
    </row>
    <row r="13" customFormat="false" ht="35.05" hidden="false" customHeight="false" outlineLevel="0" collapsed="false">
      <c r="A13" s="16" t="n">
        <v>8</v>
      </c>
      <c r="B13" s="5" t="s">
        <v>160</v>
      </c>
      <c r="C13" s="16" t="s">
        <v>46</v>
      </c>
      <c r="D13" s="16" t="s">
        <v>137</v>
      </c>
      <c r="E13" s="5" t="s">
        <v>161</v>
      </c>
      <c r="F13" s="5" t="s">
        <v>162</v>
      </c>
      <c r="G13" s="5" t="s">
        <v>163</v>
      </c>
      <c r="H13" s="5" t="s">
        <v>164</v>
      </c>
      <c r="I13" s="5" t="s">
        <v>165</v>
      </c>
      <c r="J13" s="18" t="s">
        <v>14</v>
      </c>
      <c r="K13" s="5" t="s">
        <v>166</v>
      </c>
    </row>
    <row r="14" customFormat="false" ht="15" hidden="false" customHeight="false" outlineLevel="0" collapsed="false">
      <c r="A14" s="16" t="n">
        <v>9</v>
      </c>
      <c r="B14" s="5" t="s">
        <v>167</v>
      </c>
      <c r="C14" s="16" t="s">
        <v>46</v>
      </c>
      <c r="D14" s="16" t="s">
        <v>137</v>
      </c>
      <c r="E14" s="5" t="s">
        <v>168</v>
      </c>
      <c r="F14" s="5" t="s">
        <v>162</v>
      </c>
      <c r="G14" s="5" t="s">
        <v>128</v>
      </c>
      <c r="H14" s="5" t="s">
        <v>169</v>
      </c>
      <c r="I14" s="5" t="s">
        <v>170</v>
      </c>
      <c r="J14" s="18" t="s">
        <v>14</v>
      </c>
      <c r="K14" s="5"/>
    </row>
    <row r="15" customFormat="false" ht="15" hidden="false" customHeight="false" outlineLevel="0" collapsed="false">
      <c r="A15" s="16" t="n">
        <v>10</v>
      </c>
      <c r="B15" s="5" t="s">
        <v>171</v>
      </c>
      <c r="C15" s="16" t="s">
        <v>46</v>
      </c>
      <c r="D15" s="16" t="s">
        <v>137</v>
      </c>
      <c r="E15" s="5" t="s">
        <v>172</v>
      </c>
      <c r="F15" s="5" t="s">
        <v>173</v>
      </c>
      <c r="G15" s="5" t="s">
        <v>174</v>
      </c>
      <c r="H15" s="5" t="s">
        <v>73</v>
      </c>
      <c r="I15" s="5" t="s">
        <v>175</v>
      </c>
      <c r="J15" s="18" t="s">
        <v>14</v>
      </c>
      <c r="K15" s="5"/>
    </row>
    <row r="16" customFormat="false" ht="15" hidden="false" customHeight="false" outlineLevel="0" collapsed="false">
      <c r="A16" s="16" t="n">
        <v>11</v>
      </c>
      <c r="B16" s="5" t="s">
        <v>176</v>
      </c>
      <c r="C16" s="16" t="s">
        <v>46</v>
      </c>
      <c r="D16" s="16" t="s">
        <v>137</v>
      </c>
      <c r="E16" s="5" t="s">
        <v>177</v>
      </c>
      <c r="F16" s="5" t="s">
        <v>178</v>
      </c>
      <c r="G16" s="5" t="s">
        <v>134</v>
      </c>
      <c r="H16" s="5" t="s">
        <v>179</v>
      </c>
      <c r="I16" s="5" t="s">
        <v>180</v>
      </c>
      <c r="J16" s="18" t="s">
        <v>14</v>
      </c>
      <c r="K16" s="5"/>
    </row>
    <row r="17" customFormat="false" ht="23.85" hidden="false" customHeight="false" outlineLevel="0" collapsed="false">
      <c r="A17" s="16" t="n">
        <v>12</v>
      </c>
      <c r="B17" s="5" t="s">
        <v>181</v>
      </c>
      <c r="C17" s="16" t="s">
        <v>120</v>
      </c>
      <c r="D17" s="16" t="s">
        <v>182</v>
      </c>
      <c r="E17" s="5" t="s">
        <v>161</v>
      </c>
      <c r="F17" s="5" t="s">
        <v>162</v>
      </c>
      <c r="G17" s="5" t="s">
        <v>183</v>
      </c>
      <c r="H17" s="5" t="s">
        <v>184</v>
      </c>
      <c r="I17" s="5" t="s">
        <v>185</v>
      </c>
      <c r="J17" s="18" t="s">
        <v>14</v>
      </c>
      <c r="K17" s="5" t="s">
        <v>186</v>
      </c>
    </row>
    <row r="18" customFormat="false" ht="15" hidden="false" customHeight="false" outlineLevel="0" collapsed="false">
      <c r="A18" s="16" t="n">
        <v>13</v>
      </c>
      <c r="B18" s="5" t="s">
        <v>187</v>
      </c>
      <c r="C18" s="16" t="s">
        <v>120</v>
      </c>
      <c r="D18" s="16" t="s">
        <v>182</v>
      </c>
      <c r="E18" s="5" t="s">
        <v>188</v>
      </c>
      <c r="F18" s="5" t="s">
        <v>189</v>
      </c>
      <c r="G18" s="5" t="s">
        <v>134</v>
      </c>
      <c r="H18" s="5" t="s">
        <v>190</v>
      </c>
      <c r="I18" s="5" t="s">
        <v>191</v>
      </c>
      <c r="J18" s="18" t="s">
        <v>14</v>
      </c>
      <c r="K18" s="5"/>
    </row>
    <row r="19" customFormat="false" ht="23.85" hidden="false" customHeight="false" outlineLevel="0" collapsed="false">
      <c r="A19" s="16" t="n">
        <v>14</v>
      </c>
      <c r="B19" s="5" t="s">
        <v>192</v>
      </c>
      <c r="C19" s="16" t="s">
        <v>46</v>
      </c>
      <c r="D19" s="16" t="s">
        <v>137</v>
      </c>
      <c r="E19" s="5" t="s">
        <v>193</v>
      </c>
      <c r="F19" s="5" t="s">
        <v>194</v>
      </c>
      <c r="G19" s="5" t="s">
        <v>195</v>
      </c>
      <c r="H19" s="5" t="s">
        <v>196</v>
      </c>
      <c r="I19" s="5" t="s">
        <v>72</v>
      </c>
      <c r="J19" s="18" t="s">
        <v>14</v>
      </c>
      <c r="K19" s="5" t="s">
        <v>197</v>
      </c>
    </row>
    <row r="20" customFormat="false" ht="23.85" hidden="false" customHeight="false" outlineLevel="0" collapsed="false">
      <c r="A20" s="16" t="n">
        <v>15</v>
      </c>
      <c r="B20" s="5" t="s">
        <v>198</v>
      </c>
      <c r="C20" s="16" t="s">
        <v>199</v>
      </c>
      <c r="D20" s="16" t="s">
        <v>137</v>
      </c>
      <c r="E20" s="5" t="s">
        <v>200</v>
      </c>
      <c r="F20" s="5" t="s">
        <v>201</v>
      </c>
      <c r="G20" s="5" t="s">
        <v>202</v>
      </c>
      <c r="H20" s="5" t="s">
        <v>203</v>
      </c>
      <c r="I20" s="5" t="s">
        <v>72</v>
      </c>
      <c r="J20" s="18" t="s">
        <v>14</v>
      </c>
      <c r="K20" s="5" t="s">
        <v>204</v>
      </c>
    </row>
    <row r="21" customFormat="false" ht="15" hidden="false" customHeight="false" outlineLevel="0" collapsed="false">
      <c r="A21" s="16" t="n">
        <v>16</v>
      </c>
      <c r="B21" s="5" t="s">
        <v>205</v>
      </c>
      <c r="C21" s="16" t="s">
        <v>199</v>
      </c>
      <c r="D21" s="16" t="s">
        <v>137</v>
      </c>
      <c r="E21" s="5" t="s">
        <v>206</v>
      </c>
      <c r="F21" s="5" t="s">
        <v>207</v>
      </c>
      <c r="G21" s="5" t="s">
        <v>208</v>
      </c>
      <c r="H21" s="5" t="s">
        <v>209</v>
      </c>
      <c r="I21" s="5" t="s">
        <v>210</v>
      </c>
      <c r="J21" s="18" t="s">
        <v>14</v>
      </c>
      <c r="K21" s="5"/>
    </row>
    <row r="22" customFormat="false" ht="23.85" hidden="false" customHeight="false" outlineLevel="0" collapsed="false">
      <c r="A22" s="16" t="n">
        <v>17</v>
      </c>
      <c r="B22" s="5" t="s">
        <v>211</v>
      </c>
      <c r="C22" s="16" t="s">
        <v>46</v>
      </c>
      <c r="D22" s="16" t="s">
        <v>137</v>
      </c>
      <c r="E22" s="5" t="s">
        <v>212</v>
      </c>
      <c r="F22" s="5" t="s">
        <v>213</v>
      </c>
      <c r="G22" s="5" t="s">
        <v>208</v>
      </c>
      <c r="H22" s="5" t="s">
        <v>73</v>
      </c>
      <c r="I22" s="5" t="s">
        <v>210</v>
      </c>
      <c r="J22" s="18" t="s">
        <v>14</v>
      </c>
      <c r="K22" s="5" t="s">
        <v>214</v>
      </c>
    </row>
    <row r="23" customFormat="false" ht="23.85" hidden="false" customHeight="false" outlineLevel="0" collapsed="false">
      <c r="A23" s="16" t="n">
        <v>18</v>
      </c>
      <c r="B23" s="5" t="s">
        <v>215</v>
      </c>
      <c r="C23" s="16" t="s">
        <v>216</v>
      </c>
      <c r="D23" s="16" t="s">
        <v>121</v>
      </c>
      <c r="E23" s="5" t="s">
        <v>217</v>
      </c>
      <c r="F23" s="5" t="s">
        <v>218</v>
      </c>
      <c r="G23" s="5" t="s">
        <v>219</v>
      </c>
      <c r="H23" s="5" t="s">
        <v>220</v>
      </c>
      <c r="I23" s="5" t="s">
        <v>72</v>
      </c>
      <c r="J23" s="18" t="s">
        <v>14</v>
      </c>
      <c r="K23" s="5"/>
    </row>
    <row r="24" customFormat="false" ht="23.85" hidden="false" customHeight="false" outlineLevel="0" collapsed="false">
      <c r="A24" s="16" t="n">
        <v>19</v>
      </c>
      <c r="B24" s="5" t="s">
        <v>221</v>
      </c>
      <c r="C24" s="16" t="s">
        <v>46</v>
      </c>
      <c r="D24" s="16" t="s">
        <v>137</v>
      </c>
      <c r="E24" s="5" t="s">
        <v>168</v>
      </c>
      <c r="F24" s="5" t="s">
        <v>222</v>
      </c>
      <c r="G24" s="5" t="s">
        <v>223</v>
      </c>
      <c r="H24" s="5" t="s">
        <v>224</v>
      </c>
      <c r="I24" s="5" t="s">
        <v>72</v>
      </c>
      <c r="J24" s="18" t="s">
        <v>14</v>
      </c>
      <c r="K24" s="5" t="s">
        <v>225</v>
      </c>
    </row>
    <row r="25" customFormat="false" ht="15" hidden="false" customHeight="false" outlineLevel="0" collapsed="false">
      <c r="A25" s="16" t="n">
        <v>20</v>
      </c>
      <c r="B25" s="5" t="s">
        <v>226</v>
      </c>
      <c r="C25" s="16" t="s">
        <v>120</v>
      </c>
      <c r="D25" s="16" t="s">
        <v>137</v>
      </c>
      <c r="E25" s="5" t="s">
        <v>227</v>
      </c>
      <c r="F25" s="5" t="s">
        <v>228</v>
      </c>
      <c r="G25" s="5" t="s">
        <v>124</v>
      </c>
      <c r="H25" s="5" t="s">
        <v>220</v>
      </c>
      <c r="I25" s="5" t="s">
        <v>229</v>
      </c>
      <c r="J25" s="18" t="s">
        <v>14</v>
      </c>
      <c r="K25" s="5" t="s">
        <v>230</v>
      </c>
    </row>
  </sheetData>
  <autoFilter ref="A5:K25"/>
  <dataValidations count="1">
    <dataValidation allowBlank="true" errorStyle="stop" operator="between" showDropDown="false" showErrorMessage="false" showInputMessage="false" sqref="J6:J25" type="list">
      <formula1>"Open,In progress,Done,N/A"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0"/>
    <col collapsed="false" customWidth="true" hidden="false" outlineLevel="0" max="4" min="3" style="0" width="34"/>
    <col collapsed="false" customWidth="true" hidden="false" outlineLevel="0" max="5" min="5" style="0" width="28"/>
    <col collapsed="false" customWidth="true" hidden="false" outlineLevel="0" max="6" min="6" style="0" width="30"/>
  </cols>
  <sheetData>
    <row r="1" customFormat="false" ht="17.35" hidden="false" customHeight="false" outlineLevel="0" collapsed="false">
      <c r="A1" s="1" t="s">
        <v>231</v>
      </c>
    </row>
    <row r="2" customFormat="false" ht="15" hidden="false" customHeight="false" outlineLevel="0" collapsed="false">
      <c r="A2" s="2" t="s">
        <v>232</v>
      </c>
    </row>
    <row r="4" customFormat="false" ht="31.5" hidden="false" customHeight="true" outlineLevel="0" collapsed="false">
      <c r="A4" s="15" t="s">
        <v>233</v>
      </c>
      <c r="B4" s="15" t="s">
        <v>234</v>
      </c>
      <c r="C4" s="15" t="s">
        <v>235</v>
      </c>
      <c r="D4" s="15" t="s">
        <v>236</v>
      </c>
      <c r="E4" s="15" t="s">
        <v>237</v>
      </c>
      <c r="F4" s="15" t="s">
        <v>238</v>
      </c>
    </row>
    <row r="5" customFormat="false" ht="57.45" hidden="false" customHeight="false" outlineLevel="0" collapsed="false">
      <c r="A5" s="5" t="s">
        <v>239</v>
      </c>
      <c r="B5" s="5" t="s">
        <v>240</v>
      </c>
      <c r="C5" s="5" t="s">
        <v>241</v>
      </c>
      <c r="D5" s="5" t="s">
        <v>242</v>
      </c>
      <c r="E5" s="5" t="s">
        <v>243</v>
      </c>
      <c r="F5" s="5" t="s">
        <v>244</v>
      </c>
    </row>
    <row r="6" customFormat="false" ht="35.05" hidden="false" customHeight="false" outlineLevel="0" collapsed="false">
      <c r="A6" s="5" t="s">
        <v>245</v>
      </c>
      <c r="B6" s="5" t="s">
        <v>246</v>
      </c>
      <c r="C6" s="5" t="s">
        <v>247</v>
      </c>
      <c r="D6" s="5" t="s">
        <v>248</v>
      </c>
      <c r="E6" s="5" t="s">
        <v>249</v>
      </c>
      <c r="F6" s="5" t="s">
        <v>250</v>
      </c>
    </row>
    <row r="7" customFormat="false" ht="23.85" hidden="false" customHeight="false" outlineLevel="0" collapsed="false">
      <c r="A7" s="5" t="s">
        <v>251</v>
      </c>
      <c r="B7" s="5" t="s">
        <v>252</v>
      </c>
      <c r="C7" s="5" t="s">
        <v>253</v>
      </c>
      <c r="D7" s="5" t="s">
        <v>254</v>
      </c>
      <c r="E7" s="5" t="s">
        <v>255</v>
      </c>
      <c r="F7" s="5" t="s">
        <v>256</v>
      </c>
    </row>
    <row r="8" customFormat="false" ht="23.85" hidden="false" customHeight="false" outlineLevel="0" collapsed="false">
      <c r="A8" s="5" t="s">
        <v>257</v>
      </c>
      <c r="B8" s="5" t="s">
        <v>258</v>
      </c>
      <c r="C8" s="5" t="s">
        <v>259</v>
      </c>
      <c r="D8" s="5" t="s">
        <v>260</v>
      </c>
      <c r="E8" s="5" t="s">
        <v>261</v>
      </c>
      <c r="F8" s="5" t="s">
        <v>262</v>
      </c>
    </row>
    <row r="9" customFormat="false" ht="23.85" hidden="false" customHeight="false" outlineLevel="0" collapsed="false">
      <c r="A9" s="5" t="s">
        <v>263</v>
      </c>
      <c r="B9" s="5" t="s">
        <v>264</v>
      </c>
      <c r="C9" s="5" t="s">
        <v>265</v>
      </c>
      <c r="D9" s="5" t="s">
        <v>266</v>
      </c>
      <c r="E9" s="5" t="s">
        <v>267</v>
      </c>
      <c r="F9" s="5" t="s">
        <v>268</v>
      </c>
    </row>
    <row r="10" customFormat="false" ht="35.05" hidden="false" customHeight="false" outlineLevel="0" collapsed="false">
      <c r="A10" s="5" t="s">
        <v>269</v>
      </c>
      <c r="B10" s="5" t="s">
        <v>270</v>
      </c>
      <c r="C10" s="5" t="s">
        <v>271</v>
      </c>
      <c r="D10" s="5" t="s">
        <v>272</v>
      </c>
      <c r="E10" s="5" t="s">
        <v>273</v>
      </c>
      <c r="F10" s="5" t="s">
        <v>274</v>
      </c>
    </row>
    <row r="11" customFormat="false" ht="23.85" hidden="false" customHeight="false" outlineLevel="0" collapsed="false">
      <c r="A11" s="5" t="s">
        <v>275</v>
      </c>
      <c r="B11" s="5" t="s">
        <v>276</v>
      </c>
      <c r="C11" s="5" t="s">
        <v>277</v>
      </c>
      <c r="D11" s="5" t="s">
        <v>278</v>
      </c>
      <c r="E11" s="5" t="s">
        <v>279</v>
      </c>
      <c r="F11" s="5" t="s">
        <v>280</v>
      </c>
    </row>
    <row r="13" customFormat="false" ht="15" hidden="false" customHeight="false" outlineLevel="0" collapsed="false">
      <c r="A13" s="3" t="s">
        <v>281</v>
      </c>
    </row>
    <row r="14" customFormat="false" ht="45" hidden="false" customHeight="true" outlineLevel="0" collapsed="false">
      <c r="A14" s="11" t="s">
        <v>282</v>
      </c>
      <c r="B14" s="11"/>
      <c r="C14" s="11"/>
      <c r="D14" s="11"/>
      <c r="E14" s="11"/>
      <c r="F14" s="11"/>
    </row>
    <row r="16" customFormat="false" ht="15" hidden="false" customHeight="false" outlineLevel="0" collapsed="false">
      <c r="A16" s="3" t="s">
        <v>283</v>
      </c>
    </row>
    <row r="17" customFormat="false" ht="31.5" hidden="false" customHeight="true" outlineLevel="0" collapsed="false">
      <c r="A17" s="5" t="s">
        <v>284</v>
      </c>
      <c r="B17" s="5" t="s">
        <v>285</v>
      </c>
      <c r="C17" s="5"/>
      <c r="D17" s="5"/>
      <c r="E17" s="5"/>
      <c r="F17" s="5"/>
    </row>
    <row r="18" customFormat="false" ht="31.5" hidden="false" customHeight="true" outlineLevel="0" collapsed="false">
      <c r="A18" s="5" t="s">
        <v>286</v>
      </c>
      <c r="B18" s="5" t="s">
        <v>287</v>
      </c>
      <c r="C18" s="5"/>
      <c r="D18" s="5"/>
      <c r="E18" s="5"/>
      <c r="F18" s="5"/>
    </row>
    <row r="19" customFormat="false" ht="31.5" hidden="false" customHeight="true" outlineLevel="0" collapsed="false">
      <c r="A19" s="5" t="s">
        <v>288</v>
      </c>
      <c r="B19" s="5" t="s">
        <v>289</v>
      </c>
      <c r="C19" s="5"/>
      <c r="D19" s="5"/>
      <c r="E19" s="5"/>
      <c r="F19" s="5"/>
    </row>
    <row r="21" customFormat="false" ht="15" hidden="false" customHeight="false" outlineLevel="0" collapsed="false">
      <c r="A21" s="3" t="s">
        <v>290</v>
      </c>
    </row>
    <row r="22" customFormat="false" ht="31.5" hidden="false" customHeight="true" outlineLevel="0" collapsed="false">
      <c r="A22" s="11" t="s">
        <v>291</v>
      </c>
      <c r="B22" s="11"/>
      <c r="C22" s="11"/>
      <c r="D22" s="11"/>
      <c r="E22" s="11"/>
      <c r="F22" s="11"/>
    </row>
    <row r="24" customFormat="false" ht="15" hidden="false" customHeight="false" outlineLevel="0" collapsed="false">
      <c r="A24" s="3" t="s">
        <v>292</v>
      </c>
    </row>
    <row r="25" customFormat="false" ht="27.75" hidden="false" customHeight="true" outlineLevel="0" collapsed="false">
      <c r="A25" s="14" t="s">
        <v>293</v>
      </c>
      <c r="B25" s="11" t="s">
        <v>294</v>
      </c>
      <c r="C25" s="11"/>
      <c r="D25" s="11"/>
      <c r="E25" s="11"/>
      <c r="F25" s="11"/>
    </row>
    <row r="26" customFormat="false" ht="27.75" hidden="false" customHeight="true" outlineLevel="0" collapsed="false">
      <c r="A26" s="14" t="s">
        <v>295</v>
      </c>
      <c r="B26" s="11" t="s">
        <v>296</v>
      </c>
      <c r="C26" s="11"/>
      <c r="D26" s="11"/>
      <c r="E26" s="11"/>
      <c r="F26" s="11"/>
    </row>
    <row r="27" customFormat="false" ht="27.75" hidden="false" customHeight="true" outlineLevel="0" collapsed="false">
      <c r="A27" s="14" t="s">
        <v>297</v>
      </c>
      <c r="B27" s="11" t="s">
        <v>298</v>
      </c>
      <c r="C27" s="11"/>
      <c r="D27" s="11"/>
      <c r="E27" s="11"/>
      <c r="F27" s="11"/>
    </row>
    <row r="28" customFormat="false" ht="27.75" hidden="false" customHeight="true" outlineLevel="0" collapsed="false">
      <c r="A28" s="14" t="s">
        <v>299</v>
      </c>
      <c r="B28" s="11" t="s">
        <v>300</v>
      </c>
      <c r="C28" s="11"/>
      <c r="D28" s="11"/>
      <c r="E28" s="11"/>
      <c r="F28" s="11"/>
    </row>
    <row r="29" customFormat="false" ht="27.75" hidden="false" customHeight="true" outlineLevel="0" collapsed="false">
      <c r="A29" s="14" t="s">
        <v>301</v>
      </c>
      <c r="B29" s="11" t="s">
        <v>302</v>
      </c>
      <c r="C29" s="11"/>
      <c r="D29" s="11"/>
      <c r="E29" s="11"/>
      <c r="F29" s="11"/>
    </row>
    <row r="30" customFormat="false" ht="27.75" hidden="false" customHeight="true" outlineLevel="0" collapsed="false">
      <c r="A30" s="14" t="s">
        <v>303</v>
      </c>
      <c r="B30" s="11" t="s">
        <v>304</v>
      </c>
      <c r="C30" s="11"/>
      <c r="D30" s="11"/>
      <c r="E30" s="11"/>
      <c r="F30" s="11"/>
    </row>
  </sheetData>
  <mergeCells count="11">
    <mergeCell ref="A14:F14"/>
    <mergeCell ref="B17:F17"/>
    <mergeCell ref="B18:F18"/>
    <mergeCell ref="B19:F19"/>
    <mergeCell ref="A22:F22"/>
    <mergeCell ref="B25:F25"/>
    <mergeCell ref="B26:F26"/>
    <mergeCell ref="B27:F27"/>
    <mergeCell ref="B28:F28"/>
    <mergeCell ref="B29:F29"/>
    <mergeCell ref="B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36"/>
    <col collapsed="false" customWidth="true" hidden="false" outlineLevel="0" max="4" min="4" style="0" width="12"/>
    <col collapsed="false" customWidth="true" hidden="false" outlineLevel="0" max="5" min="5" style="0" width="48"/>
  </cols>
  <sheetData>
    <row r="1" customFormat="false" ht="17.35" hidden="false" customHeight="false" outlineLevel="0" collapsed="false">
      <c r="A1" s="1" t="s">
        <v>305</v>
      </c>
    </row>
    <row r="2" customFormat="false" ht="15" hidden="false" customHeight="false" outlineLevel="0" collapsed="false">
      <c r="A2" s="2" t="s">
        <v>306</v>
      </c>
    </row>
    <row r="4" customFormat="false" ht="31.5" hidden="false" customHeight="true" outlineLevel="0" collapsed="false">
      <c r="A4" s="15" t="s">
        <v>233</v>
      </c>
      <c r="B4" s="15" t="s">
        <v>307</v>
      </c>
      <c r="C4" s="15" t="s">
        <v>308</v>
      </c>
      <c r="D4" s="15" t="s">
        <v>309</v>
      </c>
      <c r="E4" s="15" t="s">
        <v>310</v>
      </c>
    </row>
    <row r="5" customFormat="false" ht="15" hidden="false" customHeight="false" outlineLevel="0" collapsed="false">
      <c r="A5" s="5" t="s">
        <v>311</v>
      </c>
      <c r="B5" s="5" t="s">
        <v>312</v>
      </c>
      <c r="C5" s="5" t="s">
        <v>313</v>
      </c>
      <c r="D5" s="16" t="n">
        <v>16</v>
      </c>
      <c r="E5" s="5" t="s">
        <v>314</v>
      </c>
    </row>
    <row r="6" customFormat="false" ht="23.85" hidden="false" customHeight="false" outlineLevel="0" collapsed="false">
      <c r="A6" s="5" t="s">
        <v>315</v>
      </c>
      <c r="B6" s="5" t="s">
        <v>316</v>
      </c>
      <c r="C6" s="5" t="s">
        <v>317</v>
      </c>
      <c r="D6" s="16" t="n">
        <v>10</v>
      </c>
      <c r="E6" s="5" t="s">
        <v>318</v>
      </c>
    </row>
    <row r="7" customFormat="false" ht="35.05" hidden="false" customHeight="false" outlineLevel="0" collapsed="false">
      <c r="A7" s="5" t="s">
        <v>319</v>
      </c>
      <c r="B7" s="5" t="s">
        <v>320</v>
      </c>
      <c r="C7" s="5" t="s">
        <v>321</v>
      </c>
      <c r="D7" s="16" t="n">
        <v>10</v>
      </c>
      <c r="E7" s="5" t="s">
        <v>322</v>
      </c>
    </row>
    <row r="8" customFormat="false" ht="15" hidden="false" customHeight="false" outlineLevel="0" collapsed="false">
      <c r="A8" s="5" t="s">
        <v>323</v>
      </c>
      <c r="B8" s="5" t="s">
        <v>324</v>
      </c>
      <c r="C8" s="5" t="s">
        <v>325</v>
      </c>
      <c r="D8" s="16"/>
      <c r="E8" s="5" t="s">
        <v>326</v>
      </c>
    </row>
    <row r="10" customFormat="false" ht="15" hidden="false" customHeight="false" outlineLevel="0" collapsed="false">
      <c r="A10" s="3" t="s">
        <v>327</v>
      </c>
    </row>
    <row r="11" customFormat="false" ht="42" hidden="false" customHeight="true" outlineLevel="0" collapsed="false">
      <c r="A11" s="11" t="s">
        <v>328</v>
      </c>
      <c r="B11" s="11"/>
      <c r="C11" s="11"/>
      <c r="D11" s="11"/>
      <c r="E11" s="11"/>
    </row>
    <row r="12" customFormat="false" ht="42" hidden="false" customHeight="true" outlineLevel="0" collapsed="false">
      <c r="A12" s="11" t="s">
        <v>329</v>
      </c>
      <c r="B12" s="11"/>
      <c r="C12" s="11"/>
      <c r="D12" s="11"/>
      <c r="E12" s="11"/>
    </row>
    <row r="13" customFormat="false" ht="42" hidden="false" customHeight="true" outlineLevel="0" collapsed="false">
      <c r="A13" s="11" t="s">
        <v>330</v>
      </c>
      <c r="B13" s="11"/>
      <c r="C13" s="11"/>
      <c r="D13" s="11"/>
      <c r="E13" s="11"/>
    </row>
    <row r="14" customFormat="false" ht="42" hidden="false" customHeight="true" outlineLevel="0" collapsed="false">
      <c r="A14" s="11" t="s">
        <v>331</v>
      </c>
      <c r="B14" s="11"/>
      <c r="C14" s="11"/>
      <c r="D14" s="11"/>
      <c r="E14" s="11"/>
    </row>
    <row r="15" customFormat="false" ht="42" hidden="false" customHeight="true" outlineLevel="0" collapsed="false">
      <c r="A15" s="11" t="s">
        <v>332</v>
      </c>
      <c r="B15" s="11"/>
      <c r="C15" s="11"/>
      <c r="D15" s="11"/>
      <c r="E15" s="11"/>
    </row>
  </sheetData>
  <mergeCells count="5">
    <mergeCell ref="A11:E11"/>
    <mergeCell ref="A12:E12"/>
    <mergeCell ref="A13:E13"/>
    <mergeCell ref="A14:E14"/>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70"/>
    <col collapsed="false" customWidth="true" hidden="false" outlineLevel="0" max="4" min="4" style="0" width="18"/>
    <col collapsed="false" customWidth="true" hidden="false" outlineLevel="0" max="5" min="5" style="0" width="12"/>
  </cols>
  <sheetData>
    <row r="1" customFormat="false" ht="17.35" hidden="false" customHeight="false" outlineLevel="0" collapsed="false">
      <c r="A1" s="1" t="s">
        <v>333</v>
      </c>
    </row>
    <row r="2" customFormat="false" ht="15" hidden="false" customHeight="false" outlineLevel="0" collapsed="false">
      <c r="A2" s="2" t="s">
        <v>334</v>
      </c>
    </row>
    <row r="4" customFormat="false" ht="31.5" hidden="false" customHeight="true" outlineLevel="0" collapsed="false">
      <c r="A4" s="15" t="s">
        <v>58</v>
      </c>
      <c r="B4" s="15" t="s">
        <v>335</v>
      </c>
      <c r="C4" s="15" t="s">
        <v>336</v>
      </c>
      <c r="D4" s="15" t="s">
        <v>60</v>
      </c>
      <c r="E4" s="15" t="s">
        <v>69</v>
      </c>
    </row>
    <row r="5" customFormat="false" ht="15" hidden="false" customHeight="false" outlineLevel="0" collapsed="false">
      <c r="A5" s="16" t="n">
        <v>1</v>
      </c>
      <c r="B5" s="5" t="s">
        <v>337</v>
      </c>
      <c r="C5" s="5" t="s">
        <v>338</v>
      </c>
      <c r="D5" s="5" t="s">
        <v>72</v>
      </c>
      <c r="E5" s="18" t="s">
        <v>14</v>
      </c>
    </row>
    <row r="6" customFormat="false" ht="23.85" hidden="false" customHeight="false" outlineLevel="0" collapsed="false">
      <c r="A6" s="16" t="n">
        <v>2</v>
      </c>
      <c r="B6" s="5" t="s">
        <v>339</v>
      </c>
      <c r="C6" s="5" t="s">
        <v>340</v>
      </c>
      <c r="D6" s="5" t="s">
        <v>165</v>
      </c>
      <c r="E6" s="18" t="s">
        <v>14</v>
      </c>
    </row>
    <row r="7" customFormat="false" ht="15" hidden="false" customHeight="false" outlineLevel="0" collapsed="false">
      <c r="A7" s="16" t="n">
        <v>3</v>
      </c>
      <c r="B7" s="5" t="s">
        <v>341</v>
      </c>
      <c r="C7" s="5" t="s">
        <v>342</v>
      </c>
      <c r="D7" s="5" t="s">
        <v>170</v>
      </c>
      <c r="E7" s="18" t="s">
        <v>14</v>
      </c>
    </row>
    <row r="8" customFormat="false" ht="23.85" hidden="false" customHeight="false" outlineLevel="0" collapsed="false">
      <c r="A8" s="16" t="n">
        <v>4</v>
      </c>
      <c r="B8" s="5" t="s">
        <v>343</v>
      </c>
      <c r="C8" s="5" t="s">
        <v>344</v>
      </c>
      <c r="D8" s="5" t="s">
        <v>180</v>
      </c>
      <c r="E8" s="18" t="s">
        <v>14</v>
      </c>
    </row>
    <row r="9" customFormat="false" ht="23.85" hidden="false" customHeight="false" outlineLevel="0" collapsed="false">
      <c r="A9" s="16" t="n">
        <v>5</v>
      </c>
      <c r="B9" s="5" t="s">
        <v>345</v>
      </c>
      <c r="C9" s="5" t="s">
        <v>346</v>
      </c>
      <c r="D9" s="5" t="s">
        <v>147</v>
      </c>
      <c r="E9" s="18" t="s">
        <v>14</v>
      </c>
    </row>
    <row r="10" customFormat="false" ht="15" hidden="false" customHeight="false" outlineLevel="0" collapsed="false">
      <c r="A10" s="16" t="n">
        <v>6</v>
      </c>
      <c r="B10" s="5" t="s">
        <v>347</v>
      </c>
      <c r="C10" s="5" t="s">
        <v>348</v>
      </c>
      <c r="D10" s="5" t="s">
        <v>349</v>
      </c>
      <c r="E10" s="18" t="s">
        <v>14</v>
      </c>
    </row>
    <row r="11" customFormat="false" ht="15" hidden="false" customHeight="false" outlineLevel="0" collapsed="false">
      <c r="A11" s="16" t="n">
        <v>7</v>
      </c>
      <c r="B11" s="5" t="s">
        <v>350</v>
      </c>
      <c r="C11" s="5" t="s">
        <v>351</v>
      </c>
      <c r="D11" s="5" t="s">
        <v>191</v>
      </c>
      <c r="E11" s="18" t="s">
        <v>14</v>
      </c>
    </row>
    <row r="12" customFormat="false" ht="15" hidden="false" customHeight="false" outlineLevel="0" collapsed="false">
      <c r="A12" s="16" t="n">
        <v>8</v>
      </c>
      <c r="B12" s="5" t="s">
        <v>352</v>
      </c>
      <c r="C12" s="5" t="s">
        <v>353</v>
      </c>
      <c r="D12" s="5" t="s">
        <v>159</v>
      </c>
      <c r="E12" s="18" t="s">
        <v>14</v>
      </c>
    </row>
    <row r="13" customFormat="false" ht="15" hidden="false" customHeight="false" outlineLevel="0" collapsed="false">
      <c r="A13" s="16" t="n">
        <v>9</v>
      </c>
      <c r="B13" s="5" t="s">
        <v>354</v>
      </c>
      <c r="C13" s="5" t="s">
        <v>355</v>
      </c>
      <c r="D13" s="5" t="s">
        <v>210</v>
      </c>
      <c r="E13" s="18" t="s">
        <v>14</v>
      </c>
    </row>
    <row r="14" customFormat="false" ht="15" hidden="false" customHeight="false" outlineLevel="0" collapsed="false">
      <c r="A14" s="16" t="n">
        <v>10</v>
      </c>
      <c r="B14" s="5" t="s">
        <v>356</v>
      </c>
      <c r="C14" s="5" t="s">
        <v>357</v>
      </c>
      <c r="D14" s="5" t="s">
        <v>72</v>
      </c>
      <c r="E14" s="18" t="s">
        <v>14</v>
      </c>
    </row>
  </sheetData>
  <dataValidations count="1">
    <dataValidation allowBlank="true" errorStyle="stop" operator="between" showDropDown="false" showErrorMessage="false" showInputMessage="false" sqref="E5:E14" type="list">
      <formula1>"Open,In progress,Done,N/A"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5" min="3" style="0" width="9"/>
    <col collapsed="false" customWidth="true" hidden="false" outlineLevel="0" max="38" min="6" style="0" width="3.2"/>
  </cols>
  <sheetData>
    <row r="1" customFormat="false" ht="17.35" hidden="false" customHeight="false" outlineLevel="0" collapsed="false">
      <c r="A1" s="1" t="s">
        <v>358</v>
      </c>
    </row>
    <row r="2" customFormat="false" ht="15" hidden="false" customHeight="false" outlineLevel="0" collapsed="false">
      <c r="A2" s="2" t="s">
        <v>359</v>
      </c>
    </row>
    <row r="3" customFormat="false" ht="15" hidden="false" customHeight="false" outlineLevel="0" collapsed="false">
      <c r="B3" s="14" t="s">
        <v>360</v>
      </c>
      <c r="C3" s="18" t="n">
        <v>28</v>
      </c>
    </row>
    <row r="4" customFormat="false" ht="15" hidden="false" customHeight="false" outlineLevel="0" collapsed="false">
      <c r="B4" s="14" t="s">
        <v>361</v>
      </c>
      <c r="C4" s="18" t="n">
        <v>13</v>
      </c>
    </row>
    <row r="5" customFormat="false" ht="31.5" hidden="false" customHeight="true" outlineLevel="0" collapsed="false">
      <c r="A5" s="15" t="s">
        <v>58</v>
      </c>
      <c r="B5" s="15" t="s">
        <v>362</v>
      </c>
      <c r="C5" s="15" t="s">
        <v>363</v>
      </c>
      <c r="D5" s="15" t="s">
        <v>364</v>
      </c>
      <c r="E5" s="15" t="s">
        <v>365</v>
      </c>
      <c r="F5" s="22" t="n">
        <v>0</v>
      </c>
      <c r="G5" s="22" t="n">
        <v>1</v>
      </c>
      <c r="H5" s="22" t="n">
        <v>2</v>
      </c>
      <c r="I5" s="22" t="n">
        <v>3</v>
      </c>
      <c r="J5" s="22" t="n">
        <v>4</v>
      </c>
      <c r="K5" s="22" t="n">
        <v>5</v>
      </c>
      <c r="L5" s="22" t="n">
        <v>6</v>
      </c>
      <c r="M5" s="22" t="n">
        <v>7</v>
      </c>
      <c r="N5" s="22" t="n">
        <v>8</v>
      </c>
      <c r="O5" s="22" t="n">
        <v>9</v>
      </c>
      <c r="P5" s="22" t="n">
        <v>10</v>
      </c>
      <c r="Q5" s="22" t="n">
        <v>11</v>
      </c>
      <c r="R5" s="22" t="n">
        <v>12</v>
      </c>
      <c r="S5" s="22" t="n">
        <v>13</v>
      </c>
      <c r="T5" s="22" t="n">
        <v>14</v>
      </c>
      <c r="U5" s="22" t="n">
        <v>15</v>
      </c>
      <c r="V5" s="22" t="n">
        <v>16</v>
      </c>
      <c r="W5" s="22" t="n">
        <v>17</v>
      </c>
      <c r="X5" s="22" t="n">
        <v>18</v>
      </c>
      <c r="Y5" s="22" t="n">
        <v>19</v>
      </c>
      <c r="Z5" s="22" t="n">
        <v>20</v>
      </c>
      <c r="AA5" s="22" t="n">
        <v>21</v>
      </c>
      <c r="AB5" s="22" t="n">
        <v>22</v>
      </c>
      <c r="AC5" s="22" t="n">
        <v>23</v>
      </c>
      <c r="AD5" s="22" t="n">
        <v>24</v>
      </c>
      <c r="AE5" s="22" t="n">
        <v>25</v>
      </c>
      <c r="AF5" s="22" t="n">
        <v>26</v>
      </c>
      <c r="AG5" s="22" t="n">
        <v>27</v>
      </c>
      <c r="AH5" s="22" t="n">
        <v>28</v>
      </c>
      <c r="AI5" s="22" t="n">
        <v>29</v>
      </c>
      <c r="AJ5" s="22" t="n">
        <v>30</v>
      </c>
      <c r="AK5" s="22" t="n">
        <v>31</v>
      </c>
      <c r="AL5" s="22" t="n">
        <v>32</v>
      </c>
    </row>
    <row r="6" customFormat="false" ht="30" hidden="false" customHeight="true" outlineLevel="0" collapsed="false">
      <c r="A6" s="16" t="n">
        <v>1</v>
      </c>
      <c r="B6" s="5" t="s">
        <v>366</v>
      </c>
      <c r="C6" s="17" t="n">
        <v>0</v>
      </c>
      <c r="D6" s="17" t="n">
        <v>4</v>
      </c>
      <c r="E6" s="16" t="n">
        <f aca="false">D6-C6</f>
        <v>4</v>
      </c>
      <c r="F6" s="23" t="n">
        <f aca="false">IF(AND(F$5&gt;=$C6,F$5&lt;$D6),1,"")</f>
        <v>1</v>
      </c>
      <c r="G6" s="23" t="n">
        <f aca="false">IF(AND(G$5&gt;=$C6,G$5&lt;$D6),1,"")</f>
        <v>1</v>
      </c>
      <c r="H6" s="23" t="n">
        <f aca="false">IF(AND(H$5&gt;=$C6,H$5&lt;$D6),1,"")</f>
        <v>1</v>
      </c>
      <c r="I6" s="23" t="n">
        <f aca="false">IF(AND(I$5&gt;=$C6,I$5&lt;$D6),1,"")</f>
        <v>1</v>
      </c>
      <c r="J6" s="23" t="str">
        <f aca="false">IF(AND(J$5&gt;=$C6,J$5&lt;$D6),1,"")</f>
        <v/>
      </c>
      <c r="K6" s="23" t="str">
        <f aca="false">IF(AND(K$5&gt;=$C6,K$5&lt;$D6),1,"")</f>
        <v/>
      </c>
      <c r="L6" s="23" t="str">
        <f aca="false">IF(AND(L$5&gt;=$C6,L$5&lt;$D6),1,"")</f>
        <v/>
      </c>
      <c r="M6" s="23" t="str">
        <f aca="false">IF(AND(M$5&gt;=$C6,M$5&lt;$D6),1,"")</f>
        <v/>
      </c>
      <c r="N6" s="23" t="str">
        <f aca="false">IF(AND(N$5&gt;=$C6,N$5&lt;$D6),1,"")</f>
        <v/>
      </c>
      <c r="O6" s="23" t="str">
        <f aca="false">IF(AND(O$5&gt;=$C6,O$5&lt;$D6),1,"")</f>
        <v/>
      </c>
      <c r="P6" s="23" t="str">
        <f aca="false">IF(AND(P$5&gt;=$C6,P$5&lt;$D6),1,"")</f>
        <v/>
      </c>
      <c r="Q6" s="23" t="str">
        <f aca="false">IF(AND(Q$5&gt;=$C6,Q$5&lt;$D6),1,"")</f>
        <v/>
      </c>
      <c r="R6" s="23" t="str">
        <f aca="false">IF(AND(R$5&gt;=$C6,R$5&lt;$D6),1,"")</f>
        <v/>
      </c>
      <c r="S6" s="23" t="str">
        <f aca="false">IF(AND(S$5&gt;=$C6,S$5&lt;$D6),1,"")</f>
        <v/>
      </c>
      <c r="T6" s="23" t="str">
        <f aca="false">IF(AND(T$5&gt;=$C6,T$5&lt;$D6),1,"")</f>
        <v/>
      </c>
      <c r="U6" s="23" t="str">
        <f aca="false">IF(AND(U$5&gt;=$C6,U$5&lt;$D6),1,"")</f>
        <v/>
      </c>
      <c r="V6" s="23" t="str">
        <f aca="false">IF(AND(V$5&gt;=$C6,V$5&lt;$D6),1,"")</f>
        <v/>
      </c>
      <c r="W6" s="23" t="str">
        <f aca="false">IF(AND(W$5&gt;=$C6,W$5&lt;$D6),1,"")</f>
        <v/>
      </c>
      <c r="X6" s="23" t="str">
        <f aca="false">IF(AND(X$5&gt;=$C6,X$5&lt;$D6),1,"")</f>
        <v/>
      </c>
      <c r="Y6" s="23" t="str">
        <f aca="false">IF(AND(Y$5&gt;=$C6,Y$5&lt;$D6),1,"")</f>
        <v/>
      </c>
      <c r="Z6" s="23" t="str">
        <f aca="false">IF(AND(Z$5&gt;=$C6,Z$5&lt;$D6),1,"")</f>
        <v/>
      </c>
      <c r="AA6" s="23" t="str">
        <f aca="false">IF(AND(AA$5&gt;=$C6,AA$5&lt;$D6),1,"")</f>
        <v/>
      </c>
      <c r="AB6" s="23" t="str">
        <f aca="false">IF(AND(AB$5&gt;=$C6,AB$5&lt;$D6),1,"")</f>
        <v/>
      </c>
      <c r="AC6" s="23" t="str">
        <f aca="false">IF(AND(AC$5&gt;=$C6,AC$5&lt;$D6),1,"")</f>
        <v/>
      </c>
      <c r="AD6" s="23" t="str">
        <f aca="false">IF(AND(AD$5&gt;=$C6,AD$5&lt;$D6),1,"")</f>
        <v/>
      </c>
      <c r="AE6" s="23" t="str">
        <f aca="false">IF(AND(AE$5&gt;=$C6,AE$5&lt;$D6),1,"")</f>
        <v/>
      </c>
      <c r="AF6" s="23" t="str">
        <f aca="false">IF(AND(AF$5&gt;=$C6,AF$5&lt;$D6),1,"")</f>
        <v/>
      </c>
      <c r="AG6" s="23" t="str">
        <f aca="false">IF(AND(AG$5&gt;=$C6,AG$5&lt;$D6),1,"")</f>
        <v/>
      </c>
      <c r="AH6" s="23" t="str">
        <f aca="false">IF(AND(AH$5&gt;=$C6,AH$5&lt;$D6),1,"")</f>
        <v/>
      </c>
      <c r="AI6" s="23" t="str">
        <f aca="false">IF(AND(AI$5&gt;=$C6,AI$5&lt;$D6),1,"")</f>
        <v/>
      </c>
      <c r="AJ6" s="23" t="str">
        <f aca="false">IF(AND(AJ$5&gt;=$C6,AJ$5&lt;$D6),1,"")</f>
        <v/>
      </c>
      <c r="AK6" s="23" t="str">
        <f aca="false">IF(AND(AK$5&gt;=$C6,AK$5&lt;$D6),1,"")</f>
        <v/>
      </c>
      <c r="AL6" s="23" t="str">
        <f aca="false">IF(AND(AL$5&gt;=$C6,AL$5&lt;$D6),1,"")</f>
        <v/>
      </c>
    </row>
    <row r="7" customFormat="false" ht="30" hidden="false" customHeight="true" outlineLevel="0" collapsed="false">
      <c r="A7" s="16" t="n">
        <v>2</v>
      </c>
      <c r="B7" s="5" t="s">
        <v>367</v>
      </c>
      <c r="C7" s="17" t="n">
        <v>4</v>
      </c>
      <c r="D7" s="17" t="n">
        <v>12</v>
      </c>
      <c r="E7" s="16" t="n">
        <f aca="false">D7-C7</f>
        <v>8</v>
      </c>
      <c r="F7" s="23" t="str">
        <f aca="false">IF(AND(F$5&gt;=$C7,F$5&lt;$D7),1,"")</f>
        <v/>
      </c>
      <c r="G7" s="23" t="str">
        <f aca="false">IF(AND(G$5&gt;=$C7,G$5&lt;$D7),1,"")</f>
        <v/>
      </c>
      <c r="H7" s="23" t="str">
        <f aca="false">IF(AND(H$5&gt;=$C7,H$5&lt;$D7),1,"")</f>
        <v/>
      </c>
      <c r="I7" s="23" t="str">
        <f aca="false">IF(AND(I$5&gt;=$C7,I$5&lt;$D7),1,"")</f>
        <v/>
      </c>
      <c r="J7" s="23" t="n">
        <f aca="false">IF(AND(J$5&gt;=$C7,J$5&lt;$D7),1,"")</f>
        <v>1</v>
      </c>
      <c r="K7" s="23" t="n">
        <f aca="false">IF(AND(K$5&gt;=$C7,K$5&lt;$D7),1,"")</f>
        <v>1</v>
      </c>
      <c r="L7" s="23" t="n">
        <f aca="false">IF(AND(L$5&gt;=$C7,L$5&lt;$D7),1,"")</f>
        <v>1</v>
      </c>
      <c r="M7" s="23" t="n">
        <f aca="false">IF(AND(M$5&gt;=$C7,M$5&lt;$D7),1,"")</f>
        <v>1</v>
      </c>
      <c r="N7" s="23" t="n">
        <f aca="false">IF(AND(N$5&gt;=$C7,N$5&lt;$D7),1,"")</f>
        <v>1</v>
      </c>
      <c r="O7" s="23" t="n">
        <f aca="false">IF(AND(O$5&gt;=$C7,O$5&lt;$D7),1,"")</f>
        <v>1</v>
      </c>
      <c r="P7" s="23" t="n">
        <f aca="false">IF(AND(P$5&gt;=$C7,P$5&lt;$D7),1,"")</f>
        <v>1</v>
      </c>
      <c r="Q7" s="23" t="n">
        <f aca="false">IF(AND(Q$5&gt;=$C7,Q$5&lt;$D7),1,"")</f>
        <v>1</v>
      </c>
      <c r="R7" s="23" t="str">
        <f aca="false">IF(AND(R$5&gt;=$C7,R$5&lt;$D7),1,"")</f>
        <v/>
      </c>
      <c r="S7" s="23" t="str">
        <f aca="false">IF(AND(S$5&gt;=$C7,S$5&lt;$D7),1,"")</f>
        <v/>
      </c>
      <c r="T7" s="23" t="str">
        <f aca="false">IF(AND(T$5&gt;=$C7,T$5&lt;$D7),1,"")</f>
        <v/>
      </c>
      <c r="U7" s="23" t="str">
        <f aca="false">IF(AND(U$5&gt;=$C7,U$5&lt;$D7),1,"")</f>
        <v/>
      </c>
      <c r="V7" s="23" t="str">
        <f aca="false">IF(AND(V$5&gt;=$C7,V$5&lt;$D7),1,"")</f>
        <v/>
      </c>
      <c r="W7" s="23" t="str">
        <f aca="false">IF(AND(W$5&gt;=$C7,W$5&lt;$D7),1,"")</f>
        <v/>
      </c>
      <c r="X7" s="23" t="str">
        <f aca="false">IF(AND(X$5&gt;=$C7,X$5&lt;$D7),1,"")</f>
        <v/>
      </c>
      <c r="Y7" s="23" t="str">
        <f aca="false">IF(AND(Y$5&gt;=$C7,Y$5&lt;$D7),1,"")</f>
        <v/>
      </c>
      <c r="Z7" s="23" t="str">
        <f aca="false">IF(AND(Z$5&gt;=$C7,Z$5&lt;$D7),1,"")</f>
        <v/>
      </c>
      <c r="AA7" s="23" t="str">
        <f aca="false">IF(AND(AA$5&gt;=$C7,AA$5&lt;$D7),1,"")</f>
        <v/>
      </c>
      <c r="AB7" s="23" t="str">
        <f aca="false">IF(AND(AB$5&gt;=$C7,AB$5&lt;$D7),1,"")</f>
        <v/>
      </c>
      <c r="AC7" s="23" t="str">
        <f aca="false">IF(AND(AC$5&gt;=$C7,AC$5&lt;$D7),1,"")</f>
        <v/>
      </c>
      <c r="AD7" s="23" t="str">
        <f aca="false">IF(AND(AD$5&gt;=$C7,AD$5&lt;$D7),1,"")</f>
        <v/>
      </c>
      <c r="AE7" s="23" t="str">
        <f aca="false">IF(AND(AE$5&gt;=$C7,AE$5&lt;$D7),1,"")</f>
        <v/>
      </c>
      <c r="AF7" s="23" t="str">
        <f aca="false">IF(AND(AF$5&gt;=$C7,AF$5&lt;$D7),1,"")</f>
        <v/>
      </c>
      <c r="AG7" s="23" t="str">
        <f aca="false">IF(AND(AG$5&gt;=$C7,AG$5&lt;$D7),1,"")</f>
        <v/>
      </c>
      <c r="AH7" s="23" t="str">
        <f aca="false">IF(AND(AH$5&gt;=$C7,AH$5&lt;$D7),1,"")</f>
        <v/>
      </c>
      <c r="AI7" s="23" t="str">
        <f aca="false">IF(AND(AI$5&gt;=$C7,AI$5&lt;$D7),1,"")</f>
        <v/>
      </c>
      <c r="AJ7" s="23" t="str">
        <f aca="false">IF(AND(AJ$5&gt;=$C7,AJ$5&lt;$D7),1,"")</f>
        <v/>
      </c>
      <c r="AK7" s="23" t="str">
        <f aca="false">IF(AND(AK$5&gt;=$C7,AK$5&lt;$D7),1,"")</f>
        <v/>
      </c>
      <c r="AL7" s="23" t="str">
        <f aca="false">IF(AND(AL$5&gt;=$C7,AL$5&lt;$D7),1,"")</f>
        <v/>
      </c>
    </row>
    <row r="8" customFormat="false" ht="30" hidden="false" customHeight="true" outlineLevel="0" collapsed="false">
      <c r="A8" s="16" t="n">
        <v>3</v>
      </c>
      <c r="B8" s="5" t="s">
        <v>368</v>
      </c>
      <c r="C8" s="17" t="n">
        <v>8</v>
      </c>
      <c r="D8" s="17" t="n">
        <v>20</v>
      </c>
      <c r="E8" s="16" t="n">
        <f aca="false">D8-C8</f>
        <v>12</v>
      </c>
      <c r="F8" s="23" t="str">
        <f aca="false">IF(AND(F$5&gt;=$C8,F$5&lt;$D8),1,"")</f>
        <v/>
      </c>
      <c r="G8" s="23" t="str">
        <f aca="false">IF(AND(G$5&gt;=$C8,G$5&lt;$D8),1,"")</f>
        <v/>
      </c>
      <c r="H8" s="23" t="str">
        <f aca="false">IF(AND(H$5&gt;=$C8,H$5&lt;$D8),1,"")</f>
        <v/>
      </c>
      <c r="I8" s="23" t="str">
        <f aca="false">IF(AND(I$5&gt;=$C8,I$5&lt;$D8),1,"")</f>
        <v/>
      </c>
      <c r="J8" s="23" t="str">
        <f aca="false">IF(AND(J$5&gt;=$C8,J$5&lt;$D8),1,"")</f>
        <v/>
      </c>
      <c r="K8" s="23" t="str">
        <f aca="false">IF(AND(K$5&gt;=$C8,K$5&lt;$D8),1,"")</f>
        <v/>
      </c>
      <c r="L8" s="23" t="str">
        <f aca="false">IF(AND(L$5&gt;=$C8,L$5&lt;$D8),1,"")</f>
        <v/>
      </c>
      <c r="M8" s="23" t="str">
        <f aca="false">IF(AND(M$5&gt;=$C8,M$5&lt;$D8),1,"")</f>
        <v/>
      </c>
      <c r="N8" s="23" t="n">
        <f aca="false">IF(AND(N$5&gt;=$C8,N$5&lt;$D8),1,"")</f>
        <v>1</v>
      </c>
      <c r="O8" s="23" t="n">
        <f aca="false">IF(AND(O$5&gt;=$C8,O$5&lt;$D8),1,"")</f>
        <v>1</v>
      </c>
      <c r="P8" s="23" t="n">
        <f aca="false">IF(AND(P$5&gt;=$C8,P$5&lt;$D8),1,"")</f>
        <v>1</v>
      </c>
      <c r="Q8" s="23" t="n">
        <f aca="false">IF(AND(Q$5&gt;=$C8,Q$5&lt;$D8),1,"")</f>
        <v>1</v>
      </c>
      <c r="R8" s="23" t="n">
        <f aca="false">IF(AND(R$5&gt;=$C8,R$5&lt;$D8),1,"")</f>
        <v>1</v>
      </c>
      <c r="S8" s="23" t="n">
        <f aca="false">IF(AND(S$5&gt;=$C8,S$5&lt;$D8),1,"")</f>
        <v>1</v>
      </c>
      <c r="T8" s="23" t="n">
        <f aca="false">IF(AND(T$5&gt;=$C8,T$5&lt;$D8),1,"")</f>
        <v>1</v>
      </c>
      <c r="U8" s="23" t="n">
        <f aca="false">IF(AND(U$5&gt;=$C8,U$5&lt;$D8),1,"")</f>
        <v>1</v>
      </c>
      <c r="V8" s="23" t="n">
        <f aca="false">IF(AND(V$5&gt;=$C8,V$5&lt;$D8),1,"")</f>
        <v>1</v>
      </c>
      <c r="W8" s="23" t="n">
        <f aca="false">IF(AND(W$5&gt;=$C8,W$5&lt;$D8),1,"")</f>
        <v>1</v>
      </c>
      <c r="X8" s="23" t="n">
        <f aca="false">IF(AND(X$5&gt;=$C8,X$5&lt;$D8),1,"")</f>
        <v>1</v>
      </c>
      <c r="Y8" s="23" t="n">
        <f aca="false">IF(AND(Y$5&gt;=$C8,Y$5&lt;$D8),1,"")</f>
        <v>1</v>
      </c>
      <c r="Z8" s="23" t="str">
        <f aca="false">IF(AND(Z$5&gt;=$C8,Z$5&lt;$D8),1,"")</f>
        <v/>
      </c>
      <c r="AA8" s="23" t="str">
        <f aca="false">IF(AND(AA$5&gt;=$C8,AA$5&lt;$D8),1,"")</f>
        <v/>
      </c>
      <c r="AB8" s="23" t="str">
        <f aca="false">IF(AND(AB$5&gt;=$C8,AB$5&lt;$D8),1,"")</f>
        <v/>
      </c>
      <c r="AC8" s="23" t="str">
        <f aca="false">IF(AND(AC$5&gt;=$C8,AC$5&lt;$D8),1,"")</f>
        <v/>
      </c>
      <c r="AD8" s="23" t="str">
        <f aca="false">IF(AND(AD$5&gt;=$C8,AD$5&lt;$D8),1,"")</f>
        <v/>
      </c>
      <c r="AE8" s="23" t="str">
        <f aca="false">IF(AND(AE$5&gt;=$C8,AE$5&lt;$D8),1,"")</f>
        <v/>
      </c>
      <c r="AF8" s="23" t="str">
        <f aca="false">IF(AND(AF$5&gt;=$C8,AF$5&lt;$D8),1,"")</f>
        <v/>
      </c>
      <c r="AG8" s="23" t="str">
        <f aca="false">IF(AND(AG$5&gt;=$C8,AG$5&lt;$D8),1,"")</f>
        <v/>
      </c>
      <c r="AH8" s="23" t="str">
        <f aca="false">IF(AND(AH$5&gt;=$C8,AH$5&lt;$D8),1,"")</f>
        <v/>
      </c>
      <c r="AI8" s="23" t="str">
        <f aca="false">IF(AND(AI$5&gt;=$C8,AI$5&lt;$D8),1,"")</f>
        <v/>
      </c>
      <c r="AJ8" s="23" t="str">
        <f aca="false">IF(AND(AJ$5&gt;=$C8,AJ$5&lt;$D8),1,"")</f>
        <v/>
      </c>
      <c r="AK8" s="23" t="str">
        <f aca="false">IF(AND(AK$5&gt;=$C8,AK$5&lt;$D8),1,"")</f>
        <v/>
      </c>
      <c r="AL8" s="23" t="str">
        <f aca="false">IF(AND(AL$5&gt;=$C8,AL$5&lt;$D8),1,"")</f>
        <v/>
      </c>
    </row>
    <row r="9" customFormat="false" ht="30" hidden="false" customHeight="true" outlineLevel="0" collapsed="false">
      <c r="A9" s="16" t="n">
        <v>4</v>
      </c>
      <c r="B9" s="5" t="s">
        <v>369</v>
      </c>
      <c r="C9" s="17" t="n">
        <v>12</v>
      </c>
      <c r="D9" s="17" t="n">
        <v>28</v>
      </c>
      <c r="E9" s="16" t="n">
        <f aca="false">D9-C9</f>
        <v>16</v>
      </c>
      <c r="F9" s="23" t="str">
        <f aca="false">IF(AND(F$5&gt;=$C9,F$5&lt;$D9),1,"")</f>
        <v/>
      </c>
      <c r="G9" s="23" t="str">
        <f aca="false">IF(AND(G$5&gt;=$C9,G$5&lt;$D9),1,"")</f>
        <v/>
      </c>
      <c r="H9" s="23" t="str">
        <f aca="false">IF(AND(H$5&gt;=$C9,H$5&lt;$D9),1,"")</f>
        <v/>
      </c>
      <c r="I9" s="23" t="str">
        <f aca="false">IF(AND(I$5&gt;=$C9,I$5&lt;$D9),1,"")</f>
        <v/>
      </c>
      <c r="J9" s="23" t="str">
        <f aca="false">IF(AND(J$5&gt;=$C9,J$5&lt;$D9),1,"")</f>
        <v/>
      </c>
      <c r="K9" s="23" t="str">
        <f aca="false">IF(AND(K$5&gt;=$C9,K$5&lt;$D9),1,"")</f>
        <v/>
      </c>
      <c r="L9" s="23" t="str">
        <f aca="false">IF(AND(L$5&gt;=$C9,L$5&lt;$D9),1,"")</f>
        <v/>
      </c>
      <c r="M9" s="23" t="str">
        <f aca="false">IF(AND(M$5&gt;=$C9,M$5&lt;$D9),1,"")</f>
        <v/>
      </c>
      <c r="N9" s="23" t="str">
        <f aca="false">IF(AND(N$5&gt;=$C9,N$5&lt;$D9),1,"")</f>
        <v/>
      </c>
      <c r="O9" s="23" t="str">
        <f aca="false">IF(AND(O$5&gt;=$C9,O$5&lt;$D9),1,"")</f>
        <v/>
      </c>
      <c r="P9" s="23" t="str">
        <f aca="false">IF(AND(P$5&gt;=$C9,P$5&lt;$D9),1,"")</f>
        <v/>
      </c>
      <c r="Q9" s="23" t="str">
        <f aca="false">IF(AND(Q$5&gt;=$C9,Q$5&lt;$D9),1,"")</f>
        <v/>
      </c>
      <c r="R9" s="23" t="n">
        <f aca="false">IF(AND(R$5&gt;=$C9,R$5&lt;$D9),1,"")</f>
        <v>1</v>
      </c>
      <c r="S9" s="23" t="n">
        <f aca="false">IF(AND(S$5&gt;=$C9,S$5&lt;$D9),1,"")</f>
        <v>1</v>
      </c>
      <c r="T9" s="23" t="n">
        <f aca="false">IF(AND(T$5&gt;=$C9,T$5&lt;$D9),1,"")</f>
        <v>1</v>
      </c>
      <c r="U9" s="23" t="n">
        <f aca="false">IF(AND(U$5&gt;=$C9,U$5&lt;$D9),1,"")</f>
        <v>1</v>
      </c>
      <c r="V9" s="23" t="n">
        <f aca="false">IF(AND(V$5&gt;=$C9,V$5&lt;$D9),1,"")</f>
        <v>1</v>
      </c>
      <c r="W9" s="23" t="n">
        <f aca="false">IF(AND(W$5&gt;=$C9,W$5&lt;$D9),1,"")</f>
        <v>1</v>
      </c>
      <c r="X9" s="23" t="n">
        <f aca="false">IF(AND(X$5&gt;=$C9,X$5&lt;$D9),1,"")</f>
        <v>1</v>
      </c>
      <c r="Y9" s="23" t="n">
        <f aca="false">IF(AND(Y$5&gt;=$C9,Y$5&lt;$D9),1,"")</f>
        <v>1</v>
      </c>
      <c r="Z9" s="23" t="n">
        <f aca="false">IF(AND(Z$5&gt;=$C9,Z$5&lt;$D9),1,"")</f>
        <v>1</v>
      </c>
      <c r="AA9" s="23" t="n">
        <f aca="false">IF(AND(AA$5&gt;=$C9,AA$5&lt;$D9),1,"")</f>
        <v>1</v>
      </c>
      <c r="AB9" s="23" t="n">
        <f aca="false">IF(AND(AB$5&gt;=$C9,AB$5&lt;$D9),1,"")</f>
        <v>1</v>
      </c>
      <c r="AC9" s="23" t="n">
        <f aca="false">IF(AND(AC$5&gt;=$C9,AC$5&lt;$D9),1,"")</f>
        <v>1</v>
      </c>
      <c r="AD9" s="23" t="n">
        <f aca="false">IF(AND(AD$5&gt;=$C9,AD$5&lt;$D9),1,"")</f>
        <v>1</v>
      </c>
      <c r="AE9" s="23" t="n">
        <f aca="false">IF(AND(AE$5&gt;=$C9,AE$5&lt;$D9),1,"")</f>
        <v>1</v>
      </c>
      <c r="AF9" s="23" t="n">
        <f aca="false">IF(AND(AF$5&gt;=$C9,AF$5&lt;$D9),1,"")</f>
        <v>1</v>
      </c>
      <c r="AG9" s="23" t="n">
        <f aca="false">IF(AND(AG$5&gt;=$C9,AG$5&lt;$D9),1,"")</f>
        <v>1</v>
      </c>
      <c r="AH9" s="23" t="str">
        <f aca="false">IF(AND(AH$5&gt;=$C9,AH$5&lt;$D9),1,"")</f>
        <v/>
      </c>
      <c r="AI9" s="23" t="str">
        <f aca="false">IF(AND(AI$5&gt;=$C9,AI$5&lt;$D9),1,"")</f>
        <v/>
      </c>
      <c r="AJ9" s="23" t="str">
        <f aca="false">IF(AND(AJ$5&gt;=$C9,AJ$5&lt;$D9),1,"")</f>
        <v/>
      </c>
      <c r="AK9" s="23" t="str">
        <f aca="false">IF(AND(AK$5&gt;=$C9,AK$5&lt;$D9),1,"")</f>
        <v/>
      </c>
      <c r="AL9" s="23" t="str">
        <f aca="false">IF(AND(AL$5&gt;=$C9,AL$5&lt;$D9),1,"")</f>
        <v/>
      </c>
    </row>
    <row r="10" customFormat="false" ht="30" hidden="false" customHeight="true" outlineLevel="0" collapsed="false">
      <c r="A10" s="16" t="n">
        <v>5</v>
      </c>
      <c r="B10" s="5" t="s">
        <v>370</v>
      </c>
      <c r="C10" s="16" t="n">
        <f aca="false">C3-C4</f>
        <v>15</v>
      </c>
      <c r="D10" s="16" t="n">
        <f aca="false">C3</f>
        <v>28</v>
      </c>
      <c r="E10" s="16" t="n">
        <f aca="false">D10-C10</f>
        <v>13</v>
      </c>
      <c r="F10" s="23" t="str">
        <f aca="false">IF(AND(F$5&gt;=$C10,F$5&lt;$D10),1,"")</f>
        <v/>
      </c>
      <c r="G10" s="23" t="str">
        <f aca="false">IF(AND(G$5&gt;=$C10,G$5&lt;$D10),1,"")</f>
        <v/>
      </c>
      <c r="H10" s="23" t="str">
        <f aca="false">IF(AND(H$5&gt;=$C10,H$5&lt;$D10),1,"")</f>
        <v/>
      </c>
      <c r="I10" s="23" t="str">
        <f aca="false">IF(AND(I$5&gt;=$C10,I$5&lt;$D10),1,"")</f>
        <v/>
      </c>
      <c r="J10" s="23" t="str">
        <f aca="false">IF(AND(J$5&gt;=$C10,J$5&lt;$D10),1,"")</f>
        <v/>
      </c>
      <c r="K10" s="23" t="str">
        <f aca="false">IF(AND(K$5&gt;=$C10,K$5&lt;$D10),1,"")</f>
        <v/>
      </c>
      <c r="L10" s="23" t="str">
        <f aca="false">IF(AND(L$5&gt;=$C10,L$5&lt;$D10),1,"")</f>
        <v/>
      </c>
      <c r="M10" s="23" t="str">
        <f aca="false">IF(AND(M$5&gt;=$C10,M$5&lt;$D10),1,"")</f>
        <v/>
      </c>
      <c r="N10" s="23" t="str">
        <f aca="false">IF(AND(N$5&gt;=$C10,N$5&lt;$D10),1,"")</f>
        <v/>
      </c>
      <c r="O10" s="23" t="str">
        <f aca="false">IF(AND(O$5&gt;=$C10,O$5&lt;$D10),1,"")</f>
        <v/>
      </c>
      <c r="P10" s="23" t="str">
        <f aca="false">IF(AND(P$5&gt;=$C10,P$5&lt;$D10),1,"")</f>
        <v/>
      </c>
      <c r="Q10" s="23" t="str">
        <f aca="false">IF(AND(Q$5&gt;=$C10,Q$5&lt;$D10),1,"")</f>
        <v/>
      </c>
      <c r="R10" s="23" t="str">
        <f aca="false">IF(AND(R$5&gt;=$C10,R$5&lt;$D10),1,"")</f>
        <v/>
      </c>
      <c r="S10" s="23" t="str">
        <f aca="false">IF(AND(S$5&gt;=$C10,S$5&lt;$D10),1,"")</f>
        <v/>
      </c>
      <c r="T10" s="23" t="str">
        <f aca="false">IF(AND(T$5&gt;=$C10,T$5&lt;$D10),1,"")</f>
        <v/>
      </c>
      <c r="U10" s="23" t="n">
        <f aca="false">IF(AND(U$5&gt;=$C10,U$5&lt;$D10),1,"")</f>
        <v>1</v>
      </c>
      <c r="V10" s="23" t="n">
        <f aca="false">IF(AND(V$5&gt;=$C10,V$5&lt;$D10),1,"")</f>
        <v>1</v>
      </c>
      <c r="W10" s="23" t="n">
        <f aca="false">IF(AND(W$5&gt;=$C10,W$5&lt;$D10),1,"")</f>
        <v>1</v>
      </c>
      <c r="X10" s="23" t="n">
        <f aca="false">IF(AND(X$5&gt;=$C10,X$5&lt;$D10),1,"")</f>
        <v>1</v>
      </c>
      <c r="Y10" s="23" t="n">
        <f aca="false">IF(AND(Y$5&gt;=$C10,Y$5&lt;$D10),1,"")</f>
        <v>1</v>
      </c>
      <c r="Z10" s="23" t="n">
        <f aca="false">IF(AND(Z$5&gt;=$C10,Z$5&lt;$D10),1,"")</f>
        <v>1</v>
      </c>
      <c r="AA10" s="23" t="n">
        <f aca="false">IF(AND(AA$5&gt;=$C10,AA$5&lt;$D10),1,"")</f>
        <v>1</v>
      </c>
      <c r="AB10" s="23" t="n">
        <f aca="false">IF(AND(AB$5&gt;=$C10,AB$5&lt;$D10),1,"")</f>
        <v>1</v>
      </c>
      <c r="AC10" s="23" t="n">
        <f aca="false">IF(AND(AC$5&gt;=$C10,AC$5&lt;$D10),1,"")</f>
        <v>1</v>
      </c>
      <c r="AD10" s="23" t="n">
        <f aca="false">IF(AND(AD$5&gt;=$C10,AD$5&lt;$D10),1,"")</f>
        <v>1</v>
      </c>
      <c r="AE10" s="23" t="n">
        <f aca="false">IF(AND(AE$5&gt;=$C10,AE$5&lt;$D10),1,"")</f>
        <v>1</v>
      </c>
      <c r="AF10" s="23" t="n">
        <f aca="false">IF(AND(AF$5&gt;=$C10,AF$5&lt;$D10),1,"")</f>
        <v>1</v>
      </c>
      <c r="AG10" s="23" t="n">
        <f aca="false">IF(AND(AG$5&gt;=$C10,AG$5&lt;$D10),1,"")</f>
        <v>1</v>
      </c>
      <c r="AH10" s="23" t="str">
        <f aca="false">IF(AND(AH$5&gt;=$C10,AH$5&lt;$D10),1,"")</f>
        <v/>
      </c>
      <c r="AI10" s="23" t="str">
        <f aca="false">IF(AND(AI$5&gt;=$C10,AI$5&lt;$D10),1,"")</f>
        <v/>
      </c>
      <c r="AJ10" s="23" t="str">
        <f aca="false">IF(AND(AJ$5&gt;=$C10,AJ$5&lt;$D10),1,"")</f>
        <v/>
      </c>
      <c r="AK10" s="23" t="str">
        <f aca="false">IF(AND(AK$5&gt;=$C10,AK$5&lt;$D10),1,"")</f>
        <v/>
      </c>
      <c r="AL10" s="23" t="str">
        <f aca="false">IF(AND(AL$5&gt;=$C10,AL$5&lt;$D10),1,"")</f>
        <v/>
      </c>
    </row>
    <row r="11" customFormat="false" ht="30" hidden="false" customHeight="true" outlineLevel="0" collapsed="false">
      <c r="A11" s="16" t="n">
        <v>6</v>
      </c>
      <c r="B11" s="5" t="s">
        <v>371</v>
      </c>
      <c r="C11" s="17" t="n">
        <v>24</v>
      </c>
      <c r="D11" s="17" t="n">
        <v>32</v>
      </c>
      <c r="E11" s="16" t="n">
        <f aca="false">D11-C11</f>
        <v>8</v>
      </c>
      <c r="F11" s="23" t="str">
        <f aca="false">IF(AND(F$5&gt;=$C11,F$5&lt;$D11),1,"")</f>
        <v/>
      </c>
      <c r="G11" s="23" t="str">
        <f aca="false">IF(AND(G$5&gt;=$C11,G$5&lt;$D11),1,"")</f>
        <v/>
      </c>
      <c r="H11" s="23" t="str">
        <f aca="false">IF(AND(H$5&gt;=$C11,H$5&lt;$D11),1,"")</f>
        <v/>
      </c>
      <c r="I11" s="23" t="str">
        <f aca="false">IF(AND(I$5&gt;=$C11,I$5&lt;$D11),1,"")</f>
        <v/>
      </c>
      <c r="J11" s="23" t="str">
        <f aca="false">IF(AND(J$5&gt;=$C11,J$5&lt;$D11),1,"")</f>
        <v/>
      </c>
      <c r="K11" s="23" t="str">
        <f aca="false">IF(AND(K$5&gt;=$C11,K$5&lt;$D11),1,"")</f>
        <v/>
      </c>
      <c r="L11" s="23" t="str">
        <f aca="false">IF(AND(L$5&gt;=$C11,L$5&lt;$D11),1,"")</f>
        <v/>
      </c>
      <c r="M11" s="23" t="str">
        <f aca="false">IF(AND(M$5&gt;=$C11,M$5&lt;$D11),1,"")</f>
        <v/>
      </c>
      <c r="N11" s="23" t="str">
        <f aca="false">IF(AND(N$5&gt;=$C11,N$5&lt;$D11),1,"")</f>
        <v/>
      </c>
      <c r="O11" s="23" t="str">
        <f aca="false">IF(AND(O$5&gt;=$C11,O$5&lt;$D11),1,"")</f>
        <v/>
      </c>
      <c r="P11" s="23" t="str">
        <f aca="false">IF(AND(P$5&gt;=$C11,P$5&lt;$D11),1,"")</f>
        <v/>
      </c>
      <c r="Q11" s="23" t="str">
        <f aca="false">IF(AND(Q$5&gt;=$C11,Q$5&lt;$D11),1,"")</f>
        <v/>
      </c>
      <c r="R11" s="23" t="str">
        <f aca="false">IF(AND(R$5&gt;=$C11,R$5&lt;$D11),1,"")</f>
        <v/>
      </c>
      <c r="S11" s="23" t="str">
        <f aca="false">IF(AND(S$5&gt;=$C11,S$5&lt;$D11),1,"")</f>
        <v/>
      </c>
      <c r="T11" s="23" t="str">
        <f aca="false">IF(AND(T$5&gt;=$C11,T$5&lt;$D11),1,"")</f>
        <v/>
      </c>
      <c r="U11" s="23" t="str">
        <f aca="false">IF(AND(U$5&gt;=$C11,U$5&lt;$D11),1,"")</f>
        <v/>
      </c>
      <c r="V11" s="23" t="str">
        <f aca="false">IF(AND(V$5&gt;=$C11,V$5&lt;$D11),1,"")</f>
        <v/>
      </c>
      <c r="W11" s="23" t="str">
        <f aca="false">IF(AND(W$5&gt;=$C11,W$5&lt;$D11),1,"")</f>
        <v/>
      </c>
      <c r="X11" s="23" t="str">
        <f aca="false">IF(AND(X$5&gt;=$C11,X$5&lt;$D11),1,"")</f>
        <v/>
      </c>
      <c r="Y11" s="23" t="str">
        <f aca="false">IF(AND(Y$5&gt;=$C11,Y$5&lt;$D11),1,"")</f>
        <v/>
      </c>
      <c r="Z11" s="23" t="str">
        <f aca="false">IF(AND(Z$5&gt;=$C11,Z$5&lt;$D11),1,"")</f>
        <v/>
      </c>
      <c r="AA11" s="23" t="str">
        <f aca="false">IF(AND(AA$5&gt;=$C11,AA$5&lt;$D11),1,"")</f>
        <v/>
      </c>
      <c r="AB11" s="23" t="str">
        <f aca="false">IF(AND(AB$5&gt;=$C11,AB$5&lt;$D11),1,"")</f>
        <v/>
      </c>
      <c r="AC11" s="23" t="str">
        <f aca="false">IF(AND(AC$5&gt;=$C11,AC$5&lt;$D11),1,"")</f>
        <v/>
      </c>
      <c r="AD11" s="23" t="n">
        <f aca="false">IF(AND(AD$5&gt;=$C11,AD$5&lt;$D11),1,"")</f>
        <v>1</v>
      </c>
      <c r="AE11" s="23" t="n">
        <f aca="false">IF(AND(AE$5&gt;=$C11,AE$5&lt;$D11),1,"")</f>
        <v>1</v>
      </c>
      <c r="AF11" s="23" t="n">
        <f aca="false">IF(AND(AF$5&gt;=$C11,AF$5&lt;$D11),1,"")</f>
        <v>1</v>
      </c>
      <c r="AG11" s="23" t="n">
        <f aca="false">IF(AND(AG$5&gt;=$C11,AG$5&lt;$D11),1,"")</f>
        <v>1</v>
      </c>
      <c r="AH11" s="23" t="n">
        <f aca="false">IF(AND(AH$5&gt;=$C11,AH$5&lt;$D11),1,"")</f>
        <v>1</v>
      </c>
      <c r="AI11" s="23" t="n">
        <f aca="false">IF(AND(AI$5&gt;=$C11,AI$5&lt;$D11),1,"")</f>
        <v>1</v>
      </c>
      <c r="AJ11" s="23" t="n">
        <f aca="false">IF(AND(AJ$5&gt;=$C11,AJ$5&lt;$D11),1,"")</f>
        <v>1</v>
      </c>
      <c r="AK11" s="23" t="n">
        <f aca="false">IF(AND(AK$5&gt;=$C11,AK$5&lt;$D11),1,"")</f>
        <v>1</v>
      </c>
      <c r="AL11" s="23" t="str">
        <f aca="false">IF(AND(AL$5&gt;=$C11,AL$5&lt;$D11),1,"")</f>
        <v/>
      </c>
    </row>
    <row r="12" customFormat="false" ht="30" hidden="false" customHeight="true" outlineLevel="0" collapsed="false">
      <c r="A12" s="16" t="n">
        <v>7</v>
      </c>
      <c r="B12" s="5" t="s">
        <v>372</v>
      </c>
      <c r="C12" s="24" t="n">
        <f aca="false">'Rooms Only'!I18</f>
        <v>3</v>
      </c>
      <c r="D12" s="24" t="n">
        <f aca="false">'Rooms Only'!J18</f>
        <v>8</v>
      </c>
      <c r="E12" s="16" t="n">
        <f aca="false">D12-C12</f>
        <v>5</v>
      </c>
      <c r="F12" s="23" t="str">
        <f aca="false">IF(AND(F$5&gt;=$C12,F$5&lt;$D12),1,"")</f>
        <v/>
      </c>
      <c r="G12" s="23" t="str">
        <f aca="false">IF(AND(G$5&gt;=$C12,G$5&lt;$D12),1,"")</f>
        <v/>
      </c>
      <c r="H12" s="23" t="str">
        <f aca="false">IF(AND(H$5&gt;=$C12,H$5&lt;$D12),1,"")</f>
        <v/>
      </c>
      <c r="I12" s="23" t="n">
        <f aca="false">IF(AND(I$5&gt;=$C12,I$5&lt;$D12),1,"")</f>
        <v>1</v>
      </c>
      <c r="J12" s="23" t="n">
        <f aca="false">IF(AND(J$5&gt;=$C12,J$5&lt;$D12),1,"")</f>
        <v>1</v>
      </c>
      <c r="K12" s="23" t="n">
        <f aca="false">IF(AND(K$5&gt;=$C12,K$5&lt;$D12),1,"")</f>
        <v>1</v>
      </c>
      <c r="L12" s="23" t="n">
        <f aca="false">IF(AND(L$5&gt;=$C12,L$5&lt;$D12),1,"")</f>
        <v>1</v>
      </c>
      <c r="M12" s="23" t="n">
        <f aca="false">IF(AND(M$5&gt;=$C12,M$5&lt;$D12),1,"")</f>
        <v>1</v>
      </c>
      <c r="N12" s="23" t="str">
        <f aca="false">IF(AND(N$5&gt;=$C12,N$5&lt;$D12),1,"")</f>
        <v/>
      </c>
      <c r="O12" s="23" t="str">
        <f aca="false">IF(AND(O$5&gt;=$C12,O$5&lt;$D12),1,"")</f>
        <v/>
      </c>
      <c r="P12" s="23" t="str">
        <f aca="false">IF(AND(P$5&gt;=$C12,P$5&lt;$D12),1,"")</f>
        <v/>
      </c>
      <c r="Q12" s="23" t="str">
        <f aca="false">IF(AND(Q$5&gt;=$C12,Q$5&lt;$D12),1,"")</f>
        <v/>
      </c>
      <c r="R12" s="23" t="str">
        <f aca="false">IF(AND(R$5&gt;=$C12,R$5&lt;$D12),1,"")</f>
        <v/>
      </c>
      <c r="S12" s="23" t="str">
        <f aca="false">IF(AND(S$5&gt;=$C12,S$5&lt;$D12),1,"")</f>
        <v/>
      </c>
      <c r="T12" s="23" t="str">
        <f aca="false">IF(AND(T$5&gt;=$C12,T$5&lt;$D12),1,"")</f>
        <v/>
      </c>
      <c r="U12" s="23" t="str">
        <f aca="false">IF(AND(U$5&gt;=$C12,U$5&lt;$D12),1,"")</f>
        <v/>
      </c>
      <c r="V12" s="23" t="str">
        <f aca="false">IF(AND(V$5&gt;=$C12,V$5&lt;$D12),1,"")</f>
        <v/>
      </c>
      <c r="W12" s="23" t="str">
        <f aca="false">IF(AND(W$5&gt;=$C12,W$5&lt;$D12),1,"")</f>
        <v/>
      </c>
      <c r="X12" s="23" t="str">
        <f aca="false">IF(AND(X$5&gt;=$C12,X$5&lt;$D12),1,"")</f>
        <v/>
      </c>
      <c r="Y12" s="23" t="str">
        <f aca="false">IF(AND(Y$5&gt;=$C12,Y$5&lt;$D12),1,"")</f>
        <v/>
      </c>
      <c r="Z12" s="23" t="str">
        <f aca="false">IF(AND(Z$5&gt;=$C12,Z$5&lt;$D12),1,"")</f>
        <v/>
      </c>
      <c r="AA12" s="23" t="str">
        <f aca="false">IF(AND(AA$5&gt;=$C12,AA$5&lt;$D12),1,"")</f>
        <v/>
      </c>
      <c r="AB12" s="23" t="str">
        <f aca="false">IF(AND(AB$5&gt;=$C12,AB$5&lt;$D12),1,"")</f>
        <v/>
      </c>
      <c r="AC12" s="23" t="str">
        <f aca="false">IF(AND(AC$5&gt;=$C12,AC$5&lt;$D12),1,"")</f>
        <v/>
      </c>
      <c r="AD12" s="23" t="str">
        <f aca="false">IF(AND(AD$5&gt;=$C12,AD$5&lt;$D12),1,"")</f>
        <v/>
      </c>
      <c r="AE12" s="23" t="str">
        <f aca="false">IF(AND(AE$5&gt;=$C12,AE$5&lt;$D12),1,"")</f>
        <v/>
      </c>
      <c r="AF12" s="23" t="str">
        <f aca="false">IF(AND(AF$5&gt;=$C12,AF$5&lt;$D12),1,"")</f>
        <v/>
      </c>
      <c r="AG12" s="23" t="str">
        <f aca="false">IF(AND(AG$5&gt;=$C12,AG$5&lt;$D12),1,"")</f>
        <v/>
      </c>
      <c r="AH12" s="23" t="str">
        <f aca="false">IF(AND(AH$5&gt;=$C12,AH$5&lt;$D12),1,"")</f>
        <v/>
      </c>
      <c r="AI12" s="23" t="str">
        <f aca="false">IF(AND(AI$5&gt;=$C12,AI$5&lt;$D12),1,"")</f>
        <v/>
      </c>
      <c r="AJ12" s="23" t="str">
        <f aca="false">IF(AND(AJ$5&gt;=$C12,AJ$5&lt;$D12),1,"")</f>
        <v/>
      </c>
      <c r="AK12" s="23" t="str">
        <f aca="false">IF(AND(AK$5&gt;=$C12,AK$5&lt;$D12),1,"")</f>
        <v/>
      </c>
      <c r="AL12" s="23" t="str">
        <f aca="false">IF(AND(AL$5&gt;=$C12,AL$5&lt;$D12),1,"")</f>
        <v/>
      </c>
    </row>
    <row r="14" customFormat="false" ht="15" hidden="false" customHeight="false" outlineLevel="0" collapsed="false">
      <c r="B14" s="3" t="s">
        <v>373</v>
      </c>
    </row>
    <row r="15" customFormat="false" ht="15" hidden="false" customHeight="false" outlineLevel="0" collapsed="false">
      <c r="B15" s="25" t="s">
        <v>374</v>
      </c>
    </row>
    <row r="16" customFormat="false" ht="15" hidden="false" customHeight="false" outlineLevel="0" collapsed="false">
      <c r="B16" s="25" t="s">
        <v>375</v>
      </c>
    </row>
    <row r="17" customFormat="false" ht="23.85" hidden="false" customHeight="false" outlineLevel="0" collapsed="false">
      <c r="B17" s="25" t="s">
        <v>376</v>
      </c>
    </row>
    <row r="18" customFormat="false" ht="23.85" hidden="false" customHeight="false" outlineLevel="0" collapsed="false">
      <c r="B18" s="25" t="s">
        <v>377</v>
      </c>
    </row>
  </sheetData>
  <conditionalFormatting sqref="F6:AL12">
    <cfRule type="cellIs" priority="2" operator="equal" aboveAverage="0" equalAverage="0" bottom="0" percent="0" rank="0" text="" dxfId="5">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8"/>
    <col collapsed="false" customWidth="true" hidden="false" outlineLevel="0" max="3" min="3" style="0" width="10"/>
    <col collapsed="false" customWidth="true" hidden="false" outlineLevel="0" max="5" min="4" style="0" width="14"/>
    <col collapsed="false" customWidth="true" hidden="false" outlineLevel="0" max="6" min="6" style="0" width="26"/>
    <col collapsed="false" customWidth="true" hidden="false" outlineLevel="0" max="7" min="7" style="0" width="48"/>
  </cols>
  <sheetData>
    <row r="1" customFormat="false" ht="17.35" hidden="false" customHeight="false" outlineLevel="0" collapsed="false">
      <c r="A1" s="1" t="s">
        <v>378</v>
      </c>
    </row>
    <row r="2" customFormat="false" ht="15" hidden="false" customHeight="false" outlineLevel="0" collapsed="false">
      <c r="A2" s="2" t="s">
        <v>379</v>
      </c>
    </row>
    <row r="5" customFormat="false" ht="31.5" hidden="false" customHeight="true" outlineLevel="0" collapsed="false">
      <c r="A5" s="15" t="s">
        <v>112</v>
      </c>
      <c r="B5" s="15" t="s">
        <v>380</v>
      </c>
      <c r="C5" s="15" t="s">
        <v>381</v>
      </c>
      <c r="D5" s="15" t="s">
        <v>382</v>
      </c>
      <c r="E5" s="15" t="s">
        <v>383</v>
      </c>
      <c r="F5" s="15" t="s">
        <v>384</v>
      </c>
      <c r="G5" s="15" t="s">
        <v>385</v>
      </c>
    </row>
    <row r="6" customFormat="false" ht="15" hidden="false" customHeight="false" outlineLevel="0" collapsed="false">
      <c r="A6" s="5" t="s">
        <v>386</v>
      </c>
      <c r="B6" s="5" t="s">
        <v>216</v>
      </c>
      <c r="C6" s="18" t="n">
        <v>1</v>
      </c>
      <c r="D6" s="26"/>
      <c r="E6" s="26"/>
      <c r="F6" s="5" t="s">
        <v>151</v>
      </c>
      <c r="G6" s="5" t="s">
        <v>387</v>
      </c>
    </row>
    <row r="7" customFormat="false" ht="15" hidden="false" customHeight="false" outlineLevel="0" collapsed="false">
      <c r="A7" s="5" t="s">
        <v>388</v>
      </c>
      <c r="B7" s="5" t="s">
        <v>216</v>
      </c>
      <c r="C7" s="18" t="n">
        <v>1</v>
      </c>
      <c r="D7" s="26"/>
      <c r="E7" s="26"/>
      <c r="F7" s="5" t="s">
        <v>151</v>
      </c>
      <c r="G7" s="5" t="s">
        <v>389</v>
      </c>
    </row>
    <row r="8" customFormat="false" ht="15" hidden="false" customHeight="false" outlineLevel="0" collapsed="false">
      <c r="A8" s="5" t="s">
        <v>390</v>
      </c>
      <c r="B8" s="5" t="s">
        <v>216</v>
      </c>
      <c r="C8" s="18" t="n">
        <v>1</v>
      </c>
      <c r="D8" s="26" t="n">
        <v>50</v>
      </c>
      <c r="E8" s="26" t="n">
        <v>50</v>
      </c>
      <c r="F8" s="5" t="s">
        <v>391</v>
      </c>
      <c r="G8" s="5" t="s">
        <v>392</v>
      </c>
    </row>
    <row r="9" customFormat="false" ht="15" hidden="false" customHeight="false" outlineLevel="0" collapsed="false">
      <c r="A9" s="5" t="s">
        <v>393</v>
      </c>
      <c r="B9" s="5" t="s">
        <v>216</v>
      </c>
      <c r="C9" s="18" t="n">
        <v>1</v>
      </c>
      <c r="D9" s="26"/>
      <c r="E9" s="26"/>
      <c r="F9" s="5" t="s">
        <v>151</v>
      </c>
      <c r="G9" s="5" t="s">
        <v>394</v>
      </c>
    </row>
    <row r="10" customFormat="false" ht="15" hidden="false" customHeight="false" outlineLevel="0" collapsed="false">
      <c r="A10" s="5" t="s">
        <v>395</v>
      </c>
      <c r="B10" s="5" t="s">
        <v>216</v>
      </c>
      <c r="C10" s="18" t="n">
        <v>1</v>
      </c>
      <c r="D10" s="26" t="n">
        <v>100</v>
      </c>
      <c r="E10" s="26" t="n">
        <v>600</v>
      </c>
      <c r="F10" s="5" t="s">
        <v>396</v>
      </c>
      <c r="G10" s="5" t="s">
        <v>397</v>
      </c>
    </row>
    <row r="11" customFormat="false" ht="15" hidden="false" customHeight="false" outlineLevel="0" collapsed="false">
      <c r="A11" s="5" t="s">
        <v>398</v>
      </c>
      <c r="B11" s="5" t="s">
        <v>399</v>
      </c>
      <c r="C11" s="18" t="n">
        <v>1</v>
      </c>
      <c r="D11" s="26" t="n">
        <v>1764</v>
      </c>
      <c r="E11" s="26" t="n">
        <v>2500</v>
      </c>
      <c r="F11" s="5" t="s">
        <v>400</v>
      </c>
      <c r="G11" s="5" t="s">
        <v>401</v>
      </c>
    </row>
    <row r="12" customFormat="false" ht="15" hidden="false" customHeight="false" outlineLevel="0" collapsed="false">
      <c r="A12" s="5" t="s">
        <v>402</v>
      </c>
      <c r="B12" s="5" t="s">
        <v>399</v>
      </c>
      <c r="C12" s="18" t="n">
        <v>1</v>
      </c>
      <c r="D12" s="26" t="n">
        <v>600</v>
      </c>
      <c r="E12" s="26" t="n">
        <v>2700</v>
      </c>
      <c r="F12" s="5" t="s">
        <v>403</v>
      </c>
      <c r="G12" s="5" t="s">
        <v>404</v>
      </c>
    </row>
    <row r="13" customFormat="false" ht="15" hidden="false" customHeight="false" outlineLevel="0" collapsed="false">
      <c r="A13" s="5" t="s">
        <v>405</v>
      </c>
      <c r="B13" s="5" t="s">
        <v>399</v>
      </c>
      <c r="C13" s="18" t="n">
        <v>1</v>
      </c>
      <c r="D13" s="26" t="n">
        <v>8000</v>
      </c>
      <c r="E13" s="26" t="n">
        <v>60000</v>
      </c>
      <c r="F13" s="5" t="s">
        <v>406</v>
      </c>
      <c r="G13" s="5" t="s">
        <v>407</v>
      </c>
    </row>
    <row r="14" customFormat="false" ht="15" hidden="false" customHeight="false" outlineLevel="0" collapsed="false">
      <c r="A14" s="5" t="s">
        <v>408</v>
      </c>
      <c r="B14" s="5" t="s">
        <v>399</v>
      </c>
      <c r="C14" s="18" t="n">
        <v>1</v>
      </c>
      <c r="D14" s="26" t="n">
        <v>3000</v>
      </c>
      <c r="E14" s="26" t="n">
        <v>8000</v>
      </c>
      <c r="F14" s="5" t="s">
        <v>406</v>
      </c>
      <c r="G14" s="5"/>
    </row>
    <row r="15" customFormat="false" ht="15" hidden="false" customHeight="false" outlineLevel="0" collapsed="false">
      <c r="A15" s="5" t="s">
        <v>409</v>
      </c>
      <c r="B15" s="5" t="s">
        <v>399</v>
      </c>
      <c r="C15" s="18" t="n">
        <v>1</v>
      </c>
      <c r="D15" s="26" t="n">
        <v>8000</v>
      </c>
      <c r="E15" s="26" t="n">
        <v>30000</v>
      </c>
      <c r="F15" s="5" t="s">
        <v>406</v>
      </c>
      <c r="G15" s="5"/>
    </row>
    <row r="16" customFormat="false" ht="15" hidden="false" customHeight="false" outlineLevel="0" collapsed="false">
      <c r="A16" s="5" t="s">
        <v>410</v>
      </c>
      <c r="B16" s="5" t="s">
        <v>399</v>
      </c>
      <c r="C16" s="18" t="n">
        <v>1</v>
      </c>
      <c r="D16" s="26" t="n">
        <v>0</v>
      </c>
      <c r="E16" s="26" t="n">
        <v>150000</v>
      </c>
      <c r="F16" s="5" t="s">
        <v>406</v>
      </c>
      <c r="G16" s="5" t="s">
        <v>411</v>
      </c>
    </row>
    <row r="17" customFormat="false" ht="15" hidden="false" customHeight="false" outlineLevel="0" collapsed="false">
      <c r="A17" s="5" t="s">
        <v>412</v>
      </c>
      <c r="B17" s="5" t="s">
        <v>399</v>
      </c>
      <c r="C17" s="18" t="n">
        <v>1</v>
      </c>
      <c r="D17" s="26" t="n">
        <v>2000</v>
      </c>
      <c r="E17" s="26" t="n">
        <v>15000</v>
      </c>
      <c r="F17" s="5" t="s">
        <v>406</v>
      </c>
      <c r="G17" s="5" t="s">
        <v>413</v>
      </c>
    </row>
    <row r="18" customFormat="false" ht="15" hidden="false" customHeight="false" outlineLevel="0" collapsed="false">
      <c r="A18" s="5" t="s">
        <v>414</v>
      </c>
      <c r="B18" s="5" t="s">
        <v>399</v>
      </c>
      <c r="C18" s="18" t="n">
        <v>1</v>
      </c>
      <c r="D18" s="26" t="n">
        <v>5000</v>
      </c>
      <c r="E18" s="26" t="n">
        <v>40000</v>
      </c>
      <c r="F18" s="5" t="s">
        <v>406</v>
      </c>
      <c r="G18" s="5"/>
    </row>
    <row r="20" customFormat="false" ht="15" hidden="false" customHeight="false" outlineLevel="0" collapsed="false">
      <c r="A20" s="3" t="s">
        <v>415</v>
      </c>
    </row>
    <row r="21" customFormat="false" ht="15" hidden="false" customHeight="false" outlineLevel="0" collapsed="false">
      <c r="A21" s="4" t="s">
        <v>380</v>
      </c>
      <c r="B21" s="4"/>
      <c r="C21" s="4"/>
      <c r="D21" s="4" t="s">
        <v>382</v>
      </c>
      <c r="E21" s="4" t="s">
        <v>383</v>
      </c>
      <c r="F21" s="4" t="s">
        <v>416</v>
      </c>
      <c r="G21" s="4"/>
    </row>
    <row r="22" customFormat="false" ht="15" hidden="false" customHeight="false" outlineLevel="0" collapsed="false">
      <c r="A22" s="14" t="s">
        <v>216</v>
      </c>
      <c r="D22" s="27" t="n">
        <f aca="false">SUMPRODUCT((B6:B18=A22)*(C6:C18)*(D6:D18))</f>
        <v>150</v>
      </c>
      <c r="E22" s="27" t="n">
        <f aca="false">SUMPRODUCT((B6:B18=A22)*(C6:C18)*(E6:E18))</f>
        <v>650</v>
      </c>
      <c r="F22" s="28" t="n">
        <f aca="false">SUMPRODUCT((B6:B18=A22)*(C6:C18=1)*(D6:D18=""))</f>
        <v>3</v>
      </c>
    </row>
    <row r="23" customFormat="false" ht="15" hidden="false" customHeight="false" outlineLevel="0" collapsed="false">
      <c r="A23" s="14" t="s">
        <v>399</v>
      </c>
      <c r="D23" s="27" t="n">
        <f aca="false">SUMPRODUCT((B6:B18=A23)*(C6:C18)*(D6:D18))</f>
        <v>28364</v>
      </c>
      <c r="E23" s="27" t="n">
        <f aca="false">SUMPRODUCT((B6:B18=A23)*(C6:C18)*(E6:E18))</f>
        <v>308200</v>
      </c>
      <c r="F23" s="28" t="n">
        <f aca="false">SUMPRODUCT((B6:B18=A23)*(C6:C18=1)*(D6:D18=""))</f>
        <v>0</v>
      </c>
    </row>
    <row r="24" customFormat="false" ht="15" hidden="false" customHeight="false" outlineLevel="0" collapsed="false">
      <c r="A24" s="14" t="s">
        <v>417</v>
      </c>
      <c r="D24" s="29" t="n">
        <f aca="false">D22+D23</f>
        <v>28514</v>
      </c>
      <c r="E24" s="29" t="n">
        <f aca="false">E22+E23</f>
        <v>308850</v>
      </c>
      <c r="F24" s="30" t="n">
        <f aca="false">F22+F23</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8"/>
    <col collapsed="false" customWidth="true" hidden="false" outlineLevel="0" max="3" min="3" style="0" width="34"/>
    <col collapsed="false" customWidth="true" hidden="false" outlineLevel="0" max="4" min="4" style="0" width="46"/>
    <col collapsed="false" customWidth="true" hidden="false" outlineLevel="0" max="5" min="5" style="0" width="12"/>
  </cols>
  <sheetData>
    <row r="1" customFormat="false" ht="17.35" hidden="false" customHeight="false" outlineLevel="0" collapsed="false">
      <c r="A1" s="1" t="s">
        <v>418</v>
      </c>
    </row>
    <row r="2" customFormat="false" ht="15" hidden="false" customHeight="false" outlineLevel="0" collapsed="false">
      <c r="A2" s="2" t="s">
        <v>419</v>
      </c>
    </row>
    <row r="4" customFormat="false" ht="31.5" hidden="false" customHeight="true" outlineLevel="0" collapsed="false">
      <c r="A4" s="15" t="s">
        <v>58</v>
      </c>
      <c r="B4" s="15" t="s">
        <v>420</v>
      </c>
      <c r="C4" s="15" t="s">
        <v>421</v>
      </c>
      <c r="D4" s="15" t="s">
        <v>422</v>
      </c>
      <c r="E4" s="15" t="s">
        <v>69</v>
      </c>
    </row>
    <row r="5" customFormat="false" ht="23.85" hidden="false" customHeight="false" outlineLevel="0" collapsed="false">
      <c r="A5" s="16" t="n">
        <v>1</v>
      </c>
      <c r="B5" s="5" t="s">
        <v>423</v>
      </c>
      <c r="C5" s="5" t="s">
        <v>424</v>
      </c>
      <c r="D5" s="5" t="s">
        <v>425</v>
      </c>
      <c r="E5" s="18" t="s">
        <v>14</v>
      </c>
    </row>
    <row r="6" customFormat="false" ht="23.85" hidden="false" customHeight="false" outlineLevel="0" collapsed="false">
      <c r="A6" s="16" t="n">
        <v>2</v>
      </c>
      <c r="B6" s="5" t="s">
        <v>426</v>
      </c>
      <c r="C6" s="5" t="s">
        <v>193</v>
      </c>
      <c r="D6" s="5" t="s">
        <v>427</v>
      </c>
      <c r="E6" s="18" t="s">
        <v>14</v>
      </c>
    </row>
    <row r="7" customFormat="false" ht="23.85" hidden="false" customHeight="false" outlineLevel="0" collapsed="false">
      <c r="A7" s="16" t="n">
        <v>3</v>
      </c>
      <c r="B7" s="5" t="s">
        <v>428</v>
      </c>
      <c r="C7" s="5" t="s">
        <v>429</v>
      </c>
      <c r="D7" s="5" t="s">
        <v>430</v>
      </c>
      <c r="E7" s="18" t="s">
        <v>14</v>
      </c>
    </row>
    <row r="8" customFormat="false" ht="23.85" hidden="false" customHeight="false" outlineLevel="0" collapsed="false">
      <c r="A8" s="16" t="n">
        <v>4</v>
      </c>
      <c r="B8" s="5" t="s">
        <v>431</v>
      </c>
      <c r="C8" s="5" t="s">
        <v>432</v>
      </c>
      <c r="D8" s="5" t="s">
        <v>433</v>
      </c>
      <c r="E8" s="18" t="s">
        <v>14</v>
      </c>
    </row>
    <row r="9" customFormat="false" ht="23.85" hidden="false" customHeight="false" outlineLevel="0" collapsed="false">
      <c r="A9" s="16" t="n">
        <v>5</v>
      </c>
      <c r="B9" s="5" t="s">
        <v>434</v>
      </c>
      <c r="C9" s="5" t="s">
        <v>435</v>
      </c>
      <c r="D9" s="5" t="s">
        <v>436</v>
      </c>
      <c r="E9" s="18" t="s">
        <v>14</v>
      </c>
    </row>
    <row r="10" customFormat="false" ht="23.85" hidden="false" customHeight="false" outlineLevel="0" collapsed="false">
      <c r="A10" s="16" t="n">
        <v>6</v>
      </c>
      <c r="B10" s="5" t="s">
        <v>437</v>
      </c>
      <c r="C10" s="5" t="s">
        <v>438</v>
      </c>
      <c r="D10" s="5" t="s">
        <v>439</v>
      </c>
      <c r="E10" s="18" t="s">
        <v>14</v>
      </c>
    </row>
    <row r="11" customFormat="false" ht="23.85" hidden="false" customHeight="false" outlineLevel="0" collapsed="false">
      <c r="A11" s="16" t="n">
        <v>7</v>
      </c>
      <c r="B11" s="5" t="s">
        <v>440</v>
      </c>
      <c r="C11" s="5" t="s">
        <v>441</v>
      </c>
      <c r="D11" s="5" t="s">
        <v>442</v>
      </c>
      <c r="E11" s="18" t="s">
        <v>14</v>
      </c>
    </row>
    <row r="12" customFormat="false" ht="15" hidden="false" customHeight="false" outlineLevel="0" collapsed="false">
      <c r="A12" s="16" t="n">
        <v>8</v>
      </c>
      <c r="B12" s="5" t="s">
        <v>443</v>
      </c>
      <c r="C12" s="5" t="s">
        <v>150</v>
      </c>
      <c r="D12" s="5" t="s">
        <v>444</v>
      </c>
      <c r="E12" s="18" t="s">
        <v>14</v>
      </c>
    </row>
    <row r="13" customFormat="false" ht="23.85" hidden="false" customHeight="false" outlineLevel="0" collapsed="false">
      <c r="A13" s="16" t="n">
        <v>9</v>
      </c>
      <c r="B13" s="5" t="s">
        <v>445</v>
      </c>
      <c r="C13" s="5" t="s">
        <v>168</v>
      </c>
      <c r="D13" s="5" t="s">
        <v>446</v>
      </c>
      <c r="E13" s="18" t="s">
        <v>14</v>
      </c>
    </row>
    <row r="14" customFormat="false" ht="15" hidden="false" customHeight="false" outlineLevel="0" collapsed="false">
      <c r="A14" s="16" t="n">
        <v>10</v>
      </c>
      <c r="B14" s="5" t="s">
        <v>447</v>
      </c>
      <c r="C14" s="5" t="s">
        <v>448</v>
      </c>
      <c r="D14" s="5" t="s">
        <v>449</v>
      </c>
      <c r="E14" s="18" t="s">
        <v>14</v>
      </c>
    </row>
    <row r="15" customFormat="false" ht="15" hidden="false" customHeight="false" outlineLevel="0" collapsed="false">
      <c r="A15" s="16" t="n">
        <v>11</v>
      </c>
      <c r="B15" s="5" t="s">
        <v>450</v>
      </c>
      <c r="C15" s="5" t="s">
        <v>448</v>
      </c>
      <c r="D15" s="5" t="s">
        <v>451</v>
      </c>
      <c r="E15" s="18" t="s">
        <v>14</v>
      </c>
    </row>
    <row r="16" customFormat="false" ht="23.85" hidden="false" customHeight="false" outlineLevel="0" collapsed="false">
      <c r="A16" s="16" t="n">
        <v>12</v>
      </c>
      <c r="B16" s="5" t="s">
        <v>452</v>
      </c>
      <c r="C16" s="5" t="s">
        <v>453</v>
      </c>
      <c r="D16" s="5" t="s">
        <v>454</v>
      </c>
      <c r="E16" s="18" t="s">
        <v>14</v>
      </c>
    </row>
  </sheetData>
  <dataValidations count="1">
    <dataValidation allowBlank="true" errorStyle="stop" operator="between" showDropDown="false" showErrorMessage="false" showInputMessage="false" sqref="E5:E16" type="list">
      <formula1>"Open,In progress,Done,N/A"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6"/>
    <col collapsed="false" customWidth="true" hidden="false" outlineLevel="0" max="4" min="4" style="0" width="110"/>
  </cols>
  <sheetData>
    <row r="1" customFormat="false" ht="17.35" hidden="false" customHeight="false" outlineLevel="0" collapsed="false">
      <c r="A1" s="1" t="s">
        <v>54</v>
      </c>
    </row>
    <row r="2" customFormat="false" ht="15" hidden="false" customHeight="false" outlineLevel="0" collapsed="false">
      <c r="A2" s="2" t="s">
        <v>455</v>
      </c>
    </row>
    <row r="4" customFormat="false" ht="31.5" hidden="false" customHeight="true" outlineLevel="0" collapsed="false">
      <c r="A4" s="15" t="s">
        <v>58</v>
      </c>
      <c r="B4" s="15" t="s">
        <v>456</v>
      </c>
      <c r="C4" s="15" t="s">
        <v>457</v>
      </c>
      <c r="D4" s="15" t="s">
        <v>458</v>
      </c>
    </row>
    <row r="5" customFormat="false" ht="15" hidden="false" customHeight="false" outlineLevel="0" collapsed="false">
      <c r="A5" s="16" t="n">
        <v>1</v>
      </c>
      <c r="B5" s="5" t="s">
        <v>459</v>
      </c>
      <c r="C5" s="5" t="s">
        <v>460</v>
      </c>
      <c r="D5" s="31" t="s">
        <v>461</v>
      </c>
    </row>
    <row r="6" customFormat="false" ht="15" hidden="false" customHeight="false" outlineLevel="0" collapsed="false">
      <c r="A6" s="16" t="n">
        <v>2</v>
      </c>
      <c r="B6" s="5" t="s">
        <v>462</v>
      </c>
      <c r="C6" s="5" t="s">
        <v>463</v>
      </c>
      <c r="D6" s="31" t="s">
        <v>464</v>
      </c>
    </row>
    <row r="7" customFormat="false" ht="15" hidden="false" customHeight="false" outlineLevel="0" collapsed="false">
      <c r="A7" s="16" t="n">
        <v>3</v>
      </c>
      <c r="B7" s="5" t="s">
        <v>462</v>
      </c>
      <c r="C7" s="5" t="s">
        <v>463</v>
      </c>
      <c r="D7" s="31" t="s">
        <v>465</v>
      </c>
    </row>
    <row r="8" customFormat="false" ht="15" hidden="false" customHeight="false" outlineLevel="0" collapsed="false">
      <c r="A8" s="16" t="n">
        <v>4</v>
      </c>
      <c r="B8" s="5" t="s">
        <v>462</v>
      </c>
      <c r="C8" s="5" t="s">
        <v>463</v>
      </c>
      <c r="D8" s="31" t="s">
        <v>466</v>
      </c>
    </row>
    <row r="9" customFormat="false" ht="23.85" hidden="false" customHeight="false" outlineLevel="0" collapsed="false">
      <c r="A9" s="16" t="n">
        <v>5</v>
      </c>
      <c r="B9" s="5" t="s">
        <v>467</v>
      </c>
      <c r="C9" s="5" t="s">
        <v>468</v>
      </c>
      <c r="D9" s="31" t="s">
        <v>469</v>
      </c>
    </row>
    <row r="10" customFormat="false" ht="15" hidden="false" customHeight="false" outlineLevel="0" collapsed="false">
      <c r="A10" s="16" t="n">
        <v>6</v>
      </c>
      <c r="B10" s="5" t="s">
        <v>470</v>
      </c>
      <c r="C10" s="5" t="s">
        <v>460</v>
      </c>
      <c r="D10" s="31" t="s">
        <v>471</v>
      </c>
    </row>
    <row r="11" customFormat="false" ht="15" hidden="false" customHeight="false" outlineLevel="0" collapsed="false">
      <c r="A11" s="16" t="n">
        <v>7</v>
      </c>
      <c r="B11" s="5" t="s">
        <v>472</v>
      </c>
      <c r="C11" s="5" t="s">
        <v>460</v>
      </c>
      <c r="D11" s="31" t="s">
        <v>473</v>
      </c>
    </row>
    <row r="12" customFormat="false" ht="15" hidden="false" customHeight="false" outlineLevel="0" collapsed="false">
      <c r="A12" s="16" t="n">
        <v>8</v>
      </c>
      <c r="B12" s="5" t="s">
        <v>474</v>
      </c>
      <c r="C12" s="5" t="s">
        <v>463</v>
      </c>
      <c r="D12" s="31" t="s">
        <v>475</v>
      </c>
    </row>
    <row r="13" customFormat="false" ht="15" hidden="false" customHeight="false" outlineLevel="0" collapsed="false">
      <c r="A13" s="16" t="n">
        <v>9</v>
      </c>
      <c r="B13" s="5" t="s">
        <v>462</v>
      </c>
      <c r="C13" s="5" t="s">
        <v>463</v>
      </c>
      <c r="D13" s="31" t="s">
        <v>476</v>
      </c>
    </row>
    <row r="14" customFormat="false" ht="15" hidden="false" customHeight="false" outlineLevel="0" collapsed="false">
      <c r="A14" s="16" t="n">
        <v>10</v>
      </c>
      <c r="B14" s="5" t="s">
        <v>462</v>
      </c>
      <c r="C14" s="5" t="s">
        <v>463</v>
      </c>
      <c r="D14" s="31" t="s">
        <v>477</v>
      </c>
    </row>
    <row r="15" customFormat="false" ht="23.85" hidden="false" customHeight="false" outlineLevel="0" collapsed="false">
      <c r="A15" s="16" t="n">
        <v>11</v>
      </c>
      <c r="B15" s="5" t="s">
        <v>478</v>
      </c>
      <c r="C15" s="5" t="s">
        <v>463</v>
      </c>
      <c r="D15" s="31" t="s">
        <v>479</v>
      </c>
    </row>
    <row r="16" customFormat="false" ht="23.85" hidden="false" customHeight="false" outlineLevel="0" collapsed="false">
      <c r="A16" s="16" t="n">
        <v>12</v>
      </c>
      <c r="B16" s="5" t="s">
        <v>478</v>
      </c>
      <c r="C16" s="5" t="s">
        <v>463</v>
      </c>
      <c r="D16" s="31" t="s">
        <v>480</v>
      </c>
    </row>
    <row r="17" customFormat="false" ht="15" hidden="false" customHeight="false" outlineLevel="0" collapsed="false">
      <c r="A17" s="16" t="n">
        <v>13</v>
      </c>
      <c r="B17" s="5" t="s">
        <v>481</v>
      </c>
      <c r="C17" s="5" t="s">
        <v>463</v>
      </c>
      <c r="D17" s="31" t="s">
        <v>482</v>
      </c>
    </row>
    <row r="18" customFormat="false" ht="15" hidden="false" customHeight="false" outlineLevel="0" collapsed="false">
      <c r="A18" s="16" t="n">
        <v>14</v>
      </c>
      <c r="B18" s="5" t="s">
        <v>462</v>
      </c>
      <c r="C18" s="5" t="s">
        <v>463</v>
      </c>
      <c r="D18" s="31" t="s">
        <v>483</v>
      </c>
    </row>
    <row r="19" customFormat="false" ht="15" hidden="false" customHeight="false" outlineLevel="0" collapsed="false">
      <c r="A19" s="16" t="n">
        <v>15</v>
      </c>
      <c r="B19" s="5" t="s">
        <v>462</v>
      </c>
      <c r="C19" s="5" t="s">
        <v>463</v>
      </c>
      <c r="D19" s="31" t="s">
        <v>484</v>
      </c>
    </row>
    <row r="20" customFormat="false" ht="15" hidden="false" customHeight="false" outlineLevel="0" collapsed="false">
      <c r="A20" s="16" t="n">
        <v>16</v>
      </c>
      <c r="B20" s="5" t="s">
        <v>462</v>
      </c>
      <c r="C20" s="5" t="s">
        <v>463</v>
      </c>
      <c r="D20" s="31" t="s">
        <v>485</v>
      </c>
    </row>
    <row r="21" customFormat="false" ht="15" hidden="false" customHeight="false" outlineLevel="0" collapsed="false">
      <c r="A21" s="16" t="n">
        <v>17</v>
      </c>
      <c r="B21" s="5" t="s">
        <v>486</v>
      </c>
      <c r="C21" s="5" t="s">
        <v>460</v>
      </c>
      <c r="D21" s="31" t="s">
        <v>487</v>
      </c>
    </row>
    <row r="22" customFormat="false" ht="15" hidden="false" customHeight="false" outlineLevel="0" collapsed="false">
      <c r="A22" s="16" t="n">
        <v>18</v>
      </c>
      <c r="B22" s="5" t="s">
        <v>462</v>
      </c>
      <c r="C22" s="5" t="s">
        <v>463</v>
      </c>
      <c r="D22" s="31" t="s">
        <v>488</v>
      </c>
    </row>
    <row r="23" customFormat="false" ht="15" hidden="false" customHeight="false" outlineLevel="0" collapsed="false">
      <c r="A23" s="16" t="n">
        <v>19</v>
      </c>
      <c r="B23" s="5" t="s">
        <v>489</v>
      </c>
      <c r="C23" s="5" t="s">
        <v>460</v>
      </c>
      <c r="D23" s="31" t="s">
        <v>490</v>
      </c>
    </row>
    <row r="24" customFormat="false" ht="15" hidden="false" customHeight="false" outlineLevel="0" collapsed="false">
      <c r="A24" s="16" t="n">
        <v>20</v>
      </c>
      <c r="B24" s="5" t="s">
        <v>491</v>
      </c>
      <c r="C24" s="5" t="s">
        <v>460</v>
      </c>
      <c r="D24" s="31" t="s">
        <v>492</v>
      </c>
    </row>
    <row r="25" customFormat="false" ht="15" hidden="false" customHeight="false" outlineLevel="0" collapsed="false">
      <c r="A25" s="16" t="n">
        <v>21</v>
      </c>
      <c r="B25" s="5" t="s">
        <v>493</v>
      </c>
      <c r="C25" s="5" t="s">
        <v>463</v>
      </c>
      <c r="D25" s="31" t="s">
        <v>494</v>
      </c>
    </row>
    <row r="26" customFormat="false" ht="15" hidden="false" customHeight="false" outlineLevel="0" collapsed="false">
      <c r="A26" s="16" t="n">
        <v>22</v>
      </c>
      <c r="B26" s="5" t="s">
        <v>493</v>
      </c>
      <c r="C26" s="5" t="s">
        <v>463</v>
      </c>
      <c r="D26" s="31" t="s">
        <v>495</v>
      </c>
    </row>
    <row r="27" customFormat="false" ht="15" hidden="false" customHeight="false" outlineLevel="0" collapsed="false">
      <c r="A27" s="16" t="n">
        <v>23</v>
      </c>
      <c r="B27" s="5" t="s">
        <v>496</v>
      </c>
      <c r="C27" s="5" t="s">
        <v>463</v>
      </c>
      <c r="D27" s="31" t="s">
        <v>497</v>
      </c>
    </row>
    <row r="28" customFormat="false" ht="15" hidden="false" customHeight="false" outlineLevel="0" collapsed="false">
      <c r="A28" s="16" t="n">
        <v>24</v>
      </c>
      <c r="B28" s="5" t="s">
        <v>498</v>
      </c>
      <c r="C28" s="5" t="s">
        <v>463</v>
      </c>
      <c r="D28" s="31" t="s">
        <v>499</v>
      </c>
    </row>
    <row r="29" customFormat="false" ht="15" hidden="false" customHeight="false" outlineLevel="0" collapsed="false">
      <c r="A29" s="16" t="n">
        <v>25</v>
      </c>
      <c r="B29" s="5" t="s">
        <v>462</v>
      </c>
      <c r="C29" s="5" t="s">
        <v>463</v>
      </c>
      <c r="D29" s="31" t="s">
        <v>500</v>
      </c>
    </row>
    <row r="30" customFormat="false" ht="15" hidden="false" customHeight="false" outlineLevel="0" collapsed="false">
      <c r="A30" s="16" t="n">
        <v>26</v>
      </c>
      <c r="B30" s="5" t="s">
        <v>462</v>
      </c>
      <c r="C30" s="5" t="s">
        <v>463</v>
      </c>
      <c r="D30" s="31" t="s">
        <v>501</v>
      </c>
    </row>
    <row r="31" customFormat="false" ht="15" hidden="false" customHeight="false" outlineLevel="0" collapsed="false">
      <c r="A31" s="16" t="n">
        <v>27</v>
      </c>
      <c r="B31" s="5" t="s">
        <v>462</v>
      </c>
      <c r="C31" s="5" t="s">
        <v>463</v>
      </c>
      <c r="D31" s="31" t="s">
        <v>502</v>
      </c>
    </row>
    <row r="32" customFormat="false" ht="15" hidden="false" customHeight="false" outlineLevel="0" collapsed="false">
      <c r="A32" s="16" t="n">
        <v>28</v>
      </c>
      <c r="B32" s="5" t="s">
        <v>462</v>
      </c>
      <c r="C32" s="5" t="s">
        <v>463</v>
      </c>
      <c r="D32" s="31" t="s">
        <v>503</v>
      </c>
    </row>
    <row r="33" customFormat="false" ht="15" hidden="false" customHeight="false" outlineLevel="0" collapsed="false">
      <c r="A33" s="16" t="n">
        <v>29</v>
      </c>
      <c r="B33" s="5" t="s">
        <v>462</v>
      </c>
      <c r="C33" s="5" t="s">
        <v>463</v>
      </c>
      <c r="D33" s="31" t="s">
        <v>504</v>
      </c>
    </row>
    <row r="34" customFormat="false" ht="15" hidden="false" customHeight="false" outlineLevel="0" collapsed="false">
      <c r="A34" s="16" t="n">
        <v>30</v>
      </c>
      <c r="B34" s="5" t="s">
        <v>481</v>
      </c>
      <c r="C34" s="5" t="s">
        <v>463</v>
      </c>
      <c r="D34" s="31" t="s">
        <v>505</v>
      </c>
    </row>
    <row r="35" customFormat="false" ht="15" hidden="false" customHeight="false" outlineLevel="0" collapsed="false">
      <c r="A35" s="16" t="n">
        <v>31</v>
      </c>
      <c r="B35" s="5" t="s">
        <v>481</v>
      </c>
      <c r="C35" s="5" t="s">
        <v>463</v>
      </c>
      <c r="D35" s="31" t="s">
        <v>506</v>
      </c>
    </row>
    <row r="36" customFormat="false" ht="15" hidden="false" customHeight="false" outlineLevel="0" collapsed="false">
      <c r="A36" s="16" t="n">
        <v>32</v>
      </c>
      <c r="B36" s="5" t="s">
        <v>481</v>
      </c>
      <c r="C36" s="5" t="s">
        <v>463</v>
      </c>
      <c r="D36" s="31" t="s">
        <v>507</v>
      </c>
    </row>
    <row r="37" customFormat="false" ht="15" hidden="false" customHeight="false" outlineLevel="0" collapsed="false">
      <c r="A37" s="16" t="n">
        <v>33</v>
      </c>
      <c r="B37" s="5" t="s">
        <v>481</v>
      </c>
      <c r="C37" s="5" t="s">
        <v>463</v>
      </c>
      <c r="D37" s="31" t="s">
        <v>508</v>
      </c>
    </row>
    <row r="38" customFormat="false" ht="15" hidden="false" customHeight="false" outlineLevel="0" collapsed="false">
      <c r="A38" s="16" t="n">
        <v>34</v>
      </c>
      <c r="B38" s="5" t="s">
        <v>509</v>
      </c>
      <c r="C38" s="5" t="s">
        <v>460</v>
      </c>
      <c r="D38" s="31" t="s">
        <v>510</v>
      </c>
    </row>
    <row r="39" customFormat="false" ht="15" hidden="false" customHeight="false" outlineLevel="0" collapsed="false">
      <c r="A39" s="16" t="n">
        <v>35</v>
      </c>
      <c r="B39" s="5" t="s">
        <v>511</v>
      </c>
      <c r="C39" s="5" t="s">
        <v>460</v>
      </c>
      <c r="D39" s="31" t="s">
        <v>512</v>
      </c>
    </row>
    <row r="40" customFormat="false" ht="15" hidden="false" customHeight="false" outlineLevel="0" collapsed="false">
      <c r="A40" s="16" t="n">
        <v>36</v>
      </c>
      <c r="B40" s="5" t="s">
        <v>513</v>
      </c>
      <c r="C40" s="5" t="s">
        <v>460</v>
      </c>
      <c r="D40" s="31" t="s">
        <v>514</v>
      </c>
    </row>
    <row r="41" customFormat="false" ht="15" hidden="false" customHeight="false" outlineLevel="0" collapsed="false">
      <c r="A41" s="16" t="n">
        <v>37</v>
      </c>
      <c r="B41" s="5" t="s">
        <v>515</v>
      </c>
      <c r="C41" s="5" t="s">
        <v>463</v>
      </c>
      <c r="D41" s="31" t="s">
        <v>516</v>
      </c>
    </row>
    <row r="42" customFormat="false" ht="15" hidden="false" customHeight="false" outlineLevel="0" collapsed="false">
      <c r="A42" s="16" t="n">
        <v>38</v>
      </c>
      <c r="B42" s="5" t="s">
        <v>517</v>
      </c>
      <c r="C42" s="5" t="s">
        <v>460</v>
      </c>
      <c r="D42" s="31" t="s">
        <v>518</v>
      </c>
    </row>
    <row r="43" customFormat="false" ht="15" hidden="false" customHeight="false" outlineLevel="0" collapsed="false">
      <c r="A43" s="16" t="n">
        <v>39</v>
      </c>
      <c r="B43" s="5" t="s">
        <v>519</v>
      </c>
      <c r="C43" s="5" t="s">
        <v>460</v>
      </c>
      <c r="D43" s="31" t="s">
        <v>520</v>
      </c>
    </row>
    <row r="44" customFormat="false" ht="15" hidden="false" customHeight="false" outlineLevel="0" collapsed="false">
      <c r="A44" s="16" t="n">
        <v>40</v>
      </c>
      <c r="B44" s="5" t="s">
        <v>493</v>
      </c>
      <c r="C44" s="5" t="s">
        <v>463</v>
      </c>
      <c r="D44" s="31" t="s">
        <v>521</v>
      </c>
    </row>
    <row r="45" customFormat="false" ht="15" hidden="false" customHeight="false" outlineLevel="0" collapsed="false">
      <c r="A45" s="16" t="n">
        <v>41</v>
      </c>
      <c r="B45" s="5" t="s">
        <v>481</v>
      </c>
      <c r="C45" s="5" t="s">
        <v>463</v>
      </c>
      <c r="D45" s="31" t="s">
        <v>522</v>
      </c>
    </row>
    <row r="46" customFormat="false" ht="15" hidden="false" customHeight="false" outlineLevel="0" collapsed="false">
      <c r="A46" s="16" t="n">
        <v>42</v>
      </c>
      <c r="B46" s="5" t="s">
        <v>493</v>
      </c>
      <c r="C46" s="5" t="s">
        <v>463</v>
      </c>
      <c r="D46" s="31" t="s">
        <v>523</v>
      </c>
    </row>
    <row r="47" customFormat="false" ht="15" hidden="false" customHeight="false" outlineLevel="0" collapsed="false">
      <c r="A47" s="16" t="n">
        <v>43</v>
      </c>
      <c r="B47" s="5" t="s">
        <v>481</v>
      </c>
      <c r="C47" s="5" t="s">
        <v>463</v>
      </c>
      <c r="D47" s="31" t="s">
        <v>524</v>
      </c>
    </row>
    <row r="48" customFormat="false" ht="15" hidden="false" customHeight="false" outlineLevel="0" collapsed="false">
      <c r="A48" s="16" t="n">
        <v>44</v>
      </c>
      <c r="B48" s="5" t="s">
        <v>462</v>
      </c>
      <c r="C48" s="5" t="s">
        <v>463</v>
      </c>
      <c r="D48" s="31" t="s">
        <v>525</v>
      </c>
    </row>
    <row r="49" customFormat="false" ht="23.85" hidden="false" customHeight="false" outlineLevel="0" collapsed="false">
      <c r="A49" s="16" t="n">
        <v>45</v>
      </c>
      <c r="B49" s="5" t="s">
        <v>467</v>
      </c>
      <c r="C49" s="5" t="s">
        <v>468</v>
      </c>
      <c r="D49" s="31" t="s">
        <v>526</v>
      </c>
    </row>
    <row r="50" customFormat="false" ht="15" hidden="false" customHeight="false" outlineLevel="0" collapsed="false">
      <c r="A50" s="16" t="n">
        <v>46</v>
      </c>
      <c r="B50" s="5" t="s">
        <v>527</v>
      </c>
      <c r="C50" s="5" t="s">
        <v>460</v>
      </c>
      <c r="D50" s="31" t="s">
        <v>528</v>
      </c>
    </row>
    <row r="52" customFormat="false" ht="15" hidden="false" customHeight="false" outlineLevel="0" collapsed="false">
      <c r="B52" s="2" t="s">
        <v>529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2026-10-13T23:36:14Z</dcterms:created>
  <dc:creator>openpyxl</dc:creator>
  <dc:description/>
  <dc:language>en-US</dc:language>
  <cp:lastModifiedBy/>
  <dcterms:modified xsi:type="dcterms:W3CDTF">2026-10-13T23:36:14Z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